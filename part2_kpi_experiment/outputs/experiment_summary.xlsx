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4b7ef8c9bcf2173/Desktop/part2_kpi_experiment/outputs/"/>
    </mc:Choice>
  </mc:AlternateContent>
  <xr:revisionPtr revIDLastSave="0" documentId="8_{06646B6B-CACF-43AF-BBA5-8E12711B63B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Group Counts" sheetId="3" r:id="rId1"/>
    <sheet name="Segment Analysis" sheetId="4" r:id="rId2"/>
    <sheet name="Summary Metrics" sheetId="6" r:id="rId3"/>
    <sheet name="Hypothesis Test" sheetId="7" r:id="rId4"/>
    <sheet name="experiment_data" sheetId="1" r:id="rId5"/>
    <sheet name="business_context" sheetId="2" r:id="rId6"/>
  </sheets>
  <definedNames>
    <definedName name="_xlnm._FilterDatabase" localSheetId="4" hidden="1">experiment_data!$A$1:$P$1401</definedName>
  </definedNames>
  <calcPr calcId="191029"/>
  <pivotCaches>
    <pivotCache cacheId="4" r:id="rId7"/>
    <pivotCache cacheId="20" r:id="rId8"/>
  </pivotCaches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2" i="1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</calcChain>
</file>

<file path=xl/sharedStrings.xml><?xml version="1.0" encoding="utf-8"?>
<sst xmlns="http://schemas.openxmlformats.org/spreadsheetml/2006/main" count="8488" uniqueCount="1486">
  <si>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</si>
  <si>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</si>
  <si>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</si>
  <si>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</si>
  <si>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</si>
  <si>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</si>
  <si>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</si>
  <si>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</si>
  <si>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</si>
  <si>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</si>
  <si>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</si>
  <si>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</si>
  <si>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</si>
  <si>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</si>
  <si>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</si>
  <si>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</si>
  <si>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</si>
  <si>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</si>
  <si>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</si>
  <si>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</si>
  <si>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</si>
  <si>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</si>
  <si>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</si>
  <si>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</si>
  <si>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</si>
  <si>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</si>
  <si>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</si>
  <si>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</si>
  <si>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</si>
  <si>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</si>
  <si>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</si>
  <si>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</si>
  <si>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</si>
  <si>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</si>
  <si>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</si>
  <si>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</si>
  <si>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</si>
  <si>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</si>
  <si>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</si>
  <si>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</si>
  <si>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</si>
  <si>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</si>
  <si>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</si>
  <si>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</si>
  <si>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</si>
  <si>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</si>
  <si>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</si>
  <si>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</si>
  <si>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</si>
  <si>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</si>
  <si>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</si>
  <si>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</si>
  <si>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</si>
  <si>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</si>
  <si>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</si>
  <si>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</si>
  <si>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</si>
  <si>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</si>
  <si>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</si>
  <si>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</si>
  <si>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</si>
  <si>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</si>
  <si>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</si>
  <si>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</si>
  <si>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</si>
  <si>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</si>
  <si>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</si>
  <si>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</si>
  <si>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</si>
  <si>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</si>
  <si>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</si>
  <si>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</si>
  <si>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</si>
  <si>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</si>
  <si>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</si>
  <si>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</si>
  <si>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</si>
  <si>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</si>
  <si>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</si>
  <si>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</si>
  <si>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</si>
  <si>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</si>
  <si>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</si>
  <si>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</si>
  <si>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</si>
  <si>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</si>
  <si>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</si>
  <si>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</si>
  <si>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</si>
  <si>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</si>
  <si>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</si>
  <si>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</si>
  <si>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</si>
  <si>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</si>
  <si>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</si>
  <si>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</si>
  <si>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</si>
  <si>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</si>
  <si>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</si>
  <si>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</si>
  <si>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</si>
  <si>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</si>
  <si>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</si>
  <si>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</si>
  <si>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</si>
  <si>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</si>
  <si>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</si>
  <si>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</si>
  <si>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</si>
  <si>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</si>
  <si>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</si>
  <si>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</si>
  <si>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</si>
  <si>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</si>
  <si>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</si>
  <si>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</si>
  <si>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</si>
  <si>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</si>
  <si>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</si>
  <si>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</si>
  <si>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</si>
  <si>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</si>
  <si>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</si>
  <si>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</si>
  <si>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</si>
  <si>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</si>
  <si>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</si>
  <si>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</si>
  <si>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</si>
  <si>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</si>
  <si>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</si>
  <si>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</si>
  <si>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</si>
  <si>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</si>
  <si>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</si>
  <si>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</si>
  <si>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</si>
  <si>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</si>
  <si>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</si>
  <si>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</si>
  <si>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</si>
  <si>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</si>
  <si>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</si>
  <si>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</si>
  <si>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</si>
  <si>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</si>
  <si>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</si>
  <si>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</si>
  <si>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</si>
  <si>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</si>
  <si>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</si>
  <si>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</si>
  <si>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</si>
  <si>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</si>
  <si>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</si>
  <si>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</si>
  <si>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</si>
  <si>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</si>
  <si>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</si>
  <si>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</si>
  <si>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</si>
  <si>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</si>
  <si>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</si>
  <si>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</si>
  <si>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</si>
  <si>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</si>
  <si>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</si>
  <si>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</si>
  <si>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</si>
  <si>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</si>
  <si>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</si>
  <si>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</si>
  <si>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</si>
  <si>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</si>
  <si>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</si>
  <si>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</si>
  <si>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</si>
  <si>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</si>
  <si>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</si>
  <si>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</si>
  <si>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</si>
  <si>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</si>
  <si>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</si>
  <si>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</si>
  <si>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</si>
  <si>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</si>
  <si>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</si>
  <si>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</si>
  <si>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</si>
  <si>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</si>
  <si>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</si>
  <si>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</si>
  <si>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</si>
  <si>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</si>
  <si>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</si>
  <si>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</si>
  <si>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</si>
  <si>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</si>
  <si>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</si>
  <si>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</si>
  <si>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</si>
  <si>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</si>
  <si>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</si>
  <si>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</si>
  <si>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</si>
  <si>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</si>
  <si>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</si>
  <si>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</si>
  <si>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</si>
  <si>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</si>
  <si>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</si>
  <si>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</si>
  <si>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</si>
  <si>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</si>
  <si>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</si>
  <si>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</si>
  <si>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</si>
  <si>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</si>
  <si>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</si>
  <si>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</si>
  <si>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</si>
  <si>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</si>
  <si>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</si>
  <si>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</si>
  <si>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</si>
  <si>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</si>
  <si>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</si>
  <si>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</si>
  <si>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</si>
  <si>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</si>
  <si>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</si>
  <si>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</si>
  <si>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</si>
  <si>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</si>
  <si>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</si>
  <si>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</si>
  <si>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</si>
  <si>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</si>
  <si>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</si>
  <si>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</si>
  <si>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</si>
  <si>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</si>
  <si>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</si>
  <si>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</si>
  <si>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</si>
  <si>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</si>
  <si>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</si>
  <si>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</si>
  <si>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</si>
  <si>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</si>
  <si>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</si>
  <si>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</si>
  <si>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</si>
  <si>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</si>
  <si>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</si>
  <si>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</si>
  <si>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</si>
  <si>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</si>
  <si>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</si>
  <si>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</si>
  <si>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</si>
  <si>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</si>
  <si>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</si>
  <si>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</si>
  <si>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</si>
  <si>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</si>
  <si>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</si>
  <si>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</si>
  <si>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</si>
  <si>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</si>
  <si>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</si>
  <si>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</si>
  <si>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</si>
  <si>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</si>
  <si>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</si>
  <si>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</si>
  <si>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</si>
  <si>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</si>
  <si>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</si>
  <si>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</si>
  <si>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</si>
  <si>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</si>
  <si>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</si>
  <si>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</si>
  <si>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</si>
  <si>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</si>
  <si>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</si>
  <si>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</si>
  <si>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</si>
  <si>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</si>
  <si>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</si>
  <si>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</si>
  <si>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</si>
  <si>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</si>
  <si>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</si>
  <si>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</si>
  <si>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</si>
  <si>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</si>
  <si>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</si>
  <si>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</si>
  <si>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</si>
  <si>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</si>
  <si>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</si>
  <si>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</si>
  <si>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</si>
  <si>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</si>
  <si>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</si>
  <si>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</si>
  <si>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</si>
  <si>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</si>
  <si>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</si>
  <si>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</si>
  <si>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</si>
  <si>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</si>
  <si>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</si>
  <si>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</si>
  <si>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</si>
  <si>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</si>
  <si>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</si>
  <si>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</si>
  <si>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</si>
  <si>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</si>
  <si>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</si>
  <si>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</si>
  <si>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</si>
  <si>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</si>
  <si>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</si>
  <si>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</si>
  <si>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</si>
  <si>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</si>
  <si>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</si>
  <si>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</si>
  <si>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</si>
  <si>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</si>
  <si>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</si>
  <si>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</si>
  <si>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</si>
  <si>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</si>
  <si>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</si>
  <si>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</si>
  <si>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</si>
  <si>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</si>
  <si>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</si>
  <si>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</si>
  <si>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</si>
  <si>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</si>
  <si>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</si>
  <si>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</si>
  <si>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</si>
  <si>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</si>
  <si>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</si>
  <si>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</si>
  <si>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</si>
  <si>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</si>
  <si>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</si>
  <si>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</si>
  <si>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</si>
  <si>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</si>
  <si>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</si>
  <si>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</si>
  <si>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</si>
  <si>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</si>
  <si>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</si>
  <si>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</si>
  <si>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</si>
  <si>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</si>
  <si>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</si>
  <si>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</si>
  <si>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</si>
  <si>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</si>
  <si>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</si>
  <si>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</si>
  <si>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</si>
  <si>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</si>
  <si>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</si>
  <si>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</si>
  <si>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</si>
  <si>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</si>
  <si>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</si>
  <si>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</si>
  <si>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</si>
  <si>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</si>
  <si>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</si>
  <si>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</si>
  <si>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</si>
  <si>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</si>
  <si>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</si>
  <si>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</si>
  <si>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</si>
  <si>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</si>
  <si>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</si>
  <si>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</si>
  <si>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</si>
  <si>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</si>
  <si>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</si>
  <si>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</si>
  <si>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</si>
  <si>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</si>
  <si>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</si>
  <si>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</si>
  <si>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</si>
  <si>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</si>
  <si>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</si>
  <si>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</si>
  <si>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</si>
  <si>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</si>
  <si>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</si>
  <si>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</si>
  <si>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</si>
  <si>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</si>
  <si>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</si>
  <si>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</si>
  <si>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</si>
  <si>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</si>
  <si>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</si>
  <si>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</si>
  <si>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</si>
  <si>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</si>
  <si>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</si>
  <si>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</si>
  <si>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</si>
  <si>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</si>
  <si>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</si>
  <si>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</si>
  <si>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</si>
  <si>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</si>
  <si>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</si>
  <si>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</si>
  <si>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</si>
  <si>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</si>
  <si>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</si>
  <si>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</si>
  <si>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</si>
  <si>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</si>
  <si>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</si>
  <si>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</si>
  <si>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</si>
  <si>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</si>
  <si>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</si>
  <si>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</si>
  <si>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</si>
  <si>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</si>
  <si>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</si>
  <si>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</si>
  <si>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</si>
  <si>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</si>
  <si>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</si>
  <si>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</si>
  <si>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</si>
  <si>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</si>
  <si>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</si>
  <si>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</si>
  <si>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</si>
  <si>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</si>
  <si>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</si>
  <si>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</si>
  <si>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</si>
  <si>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</si>
  <si>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</si>
  <si>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</si>
  <si>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</si>
  <si>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</si>
  <si>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</si>
  <si>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</si>
  <si>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</si>
  <si>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</si>
  <si>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</si>
  <si>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</si>
  <si>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</si>
  <si>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</si>
  <si>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</si>
  <si>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</si>
  <si>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</si>
  <si>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</si>
  <si>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</si>
  <si>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</si>
  <si>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</si>
  <si>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</si>
  <si>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</si>
  <si>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</si>
  <si>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</si>
  <si>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</si>
  <si>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</si>
  <si>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</si>
  <si>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</si>
  <si>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</si>
  <si>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</si>
  <si>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</si>
  <si>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</si>
  <si>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</si>
  <si>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</si>
  <si>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</si>
  <si>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</si>
  <si>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</si>
  <si>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</si>
  <si>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</si>
  <si>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</si>
  <si>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</si>
  <si>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</si>
  <si>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</si>
  <si>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</si>
  <si>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</si>
  <si>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</si>
  <si>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</si>
  <si>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</si>
  <si>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</si>
  <si>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</si>
  <si>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</si>
  <si>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</si>
  <si>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</si>
  <si>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</si>
  <si>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</si>
  <si>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</si>
  <si>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</si>
  <si>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</si>
  <si>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</si>
  <si>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</si>
  <si>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</si>
  <si>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</si>
  <si>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</si>
  <si>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</si>
  <si>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</si>
  <si>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</si>
  <si>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</si>
  <si>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</si>
  <si>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</si>
  <si>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</si>
  <si>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</si>
  <si>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</si>
  <si>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</si>
  <si>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</si>
  <si>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</si>
  <si>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</si>
  <si>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</si>
  <si>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</si>
  <si>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</si>
  <si>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</si>
  <si>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</si>
  <si>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</si>
  <si>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</si>
  <si>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</si>
  <si>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</si>
  <si>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</si>
  <si>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</si>
  <si>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</si>
  <si>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</si>
  <si>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</si>
  <si>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</si>
  <si>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</si>
  <si>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</si>
  <si>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</si>
  <si>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</si>
  <si>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</si>
  <si>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</si>
  <si>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</si>
  <si>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</si>
  <si>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</si>
  <si>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</si>
  <si>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</si>
  <si>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</si>
  <si>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</si>
  <si>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</si>
  <si>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</si>
  <si>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</si>
  <si>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</si>
  <si>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</si>
  <si>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</si>
  <si>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</si>
  <si>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</si>
  <si>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</si>
  <si>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</si>
  <si>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</si>
  <si>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</si>
  <si>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</si>
  <si>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</si>
  <si>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</si>
  <si>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</si>
  <si>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</si>
  <si>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</si>
  <si>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</si>
  <si>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</si>
  <si>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</si>
  <si>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</si>
  <si>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</si>
  <si>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</si>
  <si>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</si>
  <si>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</si>
  <si>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</si>
  <si>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</si>
  <si>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</si>
  <si>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</si>
  <si>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</si>
  <si>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</si>
  <si>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</si>
  <si>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</si>
  <si>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</si>
  <si>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</si>
  <si>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</si>
  <si>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</si>
  <si>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</si>
  <si>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</si>
  <si>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</si>
  <si>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</si>
  <si>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</si>
  <si>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</si>
  <si>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</si>
  <si>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</si>
  <si>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</si>
  <si>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</si>
  <si>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</si>
  <si>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</si>
  <si>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</si>
  <si>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</si>
  <si>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</si>
  <si>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</si>
  <si>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</si>
  <si>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</si>
  <si>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</si>
  <si>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</si>
  <si>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</si>
  <si>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</si>
  <si>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</si>
  <si>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</si>
  <si>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</si>
  <si>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</si>
  <si>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</si>
  <si>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</si>
  <si>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</si>
  <si>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</si>
  <si>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</si>
  <si>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</si>
  <si>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</si>
  <si>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</si>
  <si>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</si>
  <si>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</si>
  <si>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</si>
  <si>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</si>
  <si>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</si>
  <si>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</si>
  <si>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</si>
  <si>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</si>
  <si>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</si>
  <si>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</si>
  <si>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</si>
  <si>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</si>
  <si>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</si>
  <si>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</si>
  <si>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</si>
  <si>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</si>
  <si>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</si>
  <si>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</si>
  <si>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</si>
  <si>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</si>
  <si>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</si>
  <si>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</si>
  <si>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</si>
  <si>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</si>
  <si>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</si>
  <si>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</si>
  <si>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</si>
  <si>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</si>
  <si>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</si>
  <si>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</si>
  <si>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</si>
  <si>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</si>
  <si>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</si>
  <si>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</si>
  <si>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</si>
  <si>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</si>
  <si>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</si>
  <si>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</si>
  <si>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</si>
  <si>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</si>
  <si>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</si>
  <si>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</si>
  <si>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</si>
  <si>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</si>
  <si>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</si>
  <si>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</si>
  <si>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</si>
  <si>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</si>
  <si>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</si>
  <si>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</si>
  <si>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</si>
  <si>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</si>
  <si>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</si>
  <si>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</si>
  <si>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</si>
  <si>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</si>
  <si>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</si>
  <si>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</si>
  <si>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</si>
  <si>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</si>
  <si>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</si>
  <si>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</si>
  <si>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</si>
  <si>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</si>
  <si>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</si>
  <si>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</si>
  <si>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</si>
  <si>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</si>
  <si>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</si>
  <si>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</si>
  <si>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</si>
  <si>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</si>
  <si>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</si>
  <si>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</si>
  <si>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</si>
  <si>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</si>
  <si>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</si>
  <si>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</si>
  <si>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</si>
  <si>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</si>
  <si>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</si>
  <si>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</si>
  <si>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</si>
  <si>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</si>
  <si>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</si>
  <si>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</si>
  <si>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</si>
  <si>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</si>
  <si>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</si>
  <si>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</si>
  <si>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</si>
  <si>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</si>
  <si>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</si>
  <si>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</si>
  <si>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</si>
  <si>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</si>
  <si>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</si>
  <si>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</si>
  <si>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</si>
  <si>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</si>
  <si>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</si>
  <si>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</si>
  <si>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</si>
  <si>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</si>
  <si>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</si>
  <si>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</si>
  <si>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</si>
  <si>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</si>
  <si>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</si>
  <si>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</si>
  <si>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</si>
  <si>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</si>
  <si>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</si>
  <si>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</si>
  <si>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</si>
  <si>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</si>
  <si>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</si>
  <si>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</si>
  <si>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</si>
  <si>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</si>
  <si>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</si>
  <si>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</si>
  <si>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</si>
  <si>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</si>
  <si>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</si>
  <si>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</si>
  <si>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</si>
  <si>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</si>
  <si>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</si>
  <si>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</si>
  <si>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</si>
  <si>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</si>
  <si>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</si>
  <si>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</si>
  <si>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</si>
  <si>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</si>
  <si>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</si>
  <si>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</si>
  <si>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</si>
  <si>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</si>
  <si>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</si>
  <si>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</si>
  <si>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</si>
  <si>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</si>
  <si>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</si>
  <si>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</si>
  <si>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</si>
  <si>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</si>
  <si>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</si>
  <si>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</si>
  <si>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</si>
  <si>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</si>
  <si>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</si>
  <si>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</si>
  <si>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</si>
  <si>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</si>
  <si>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</si>
  <si>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</si>
  <si>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</si>
  <si>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</si>
  <si>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</si>
  <si>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</si>
  <si>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</si>
  <si>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</si>
  <si>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</si>
  <si>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</si>
  <si>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</si>
  <si>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</si>
  <si>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</si>
  <si>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</si>
  <si>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</si>
  <si>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</si>
  <si>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</si>
  <si>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</si>
  <si>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</si>
  <si>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</si>
  <si>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</si>
  <si>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</si>
  <si>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</si>
  <si>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</si>
  <si>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</si>
  <si>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</si>
  <si>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</si>
  <si>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</si>
  <si>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</si>
  <si>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</si>
  <si>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</si>
  <si>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</si>
  <si>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</si>
  <si>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</si>
  <si>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</si>
  <si>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</si>
  <si>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</si>
  <si>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</si>
  <si>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</si>
  <si>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</si>
  <si>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</si>
  <si>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</si>
  <si>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</si>
  <si>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</si>
  <si>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</si>
  <si>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</si>
  <si>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</si>
  <si>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</si>
  <si>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</si>
  <si>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</si>
  <si>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</si>
  <si>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</si>
  <si>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</si>
  <si>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</si>
  <si>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</si>
  <si>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</si>
  <si>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</si>
  <si>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</si>
  <si>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</si>
  <si>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</si>
  <si>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</si>
  <si>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</si>
  <si>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</si>
  <si>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</si>
  <si>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</si>
  <si>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</si>
  <si>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</si>
  <si>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</si>
  <si>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</si>
  <si>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</si>
  <si>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</si>
  <si>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</si>
  <si>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</si>
  <si>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</si>
  <si>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</si>
  <si>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</si>
  <si>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</si>
  <si>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</si>
  <si>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</si>
  <si>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</si>
  <si>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</si>
  <si>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</si>
  <si>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</si>
  <si>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</si>
  <si>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</si>
  <si>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</si>
  <si>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</si>
  <si>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</si>
  <si>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</si>
  <si>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</si>
  <si>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</si>
  <si>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</si>
  <si>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</si>
  <si>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</si>
  <si>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</si>
  <si>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</si>
  <si>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</si>
  <si>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</si>
  <si>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</si>
  <si>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</si>
  <si>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</si>
  <si>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</si>
  <si>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</si>
  <si>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</si>
  <si>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</si>
  <si>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</si>
  <si>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</si>
  <si>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</si>
  <si>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</si>
  <si>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</si>
  <si>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</si>
  <si>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</si>
  <si>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</si>
  <si>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</si>
  <si>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</si>
  <si>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</si>
  <si>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</si>
  <si>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</si>
  <si>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</si>
  <si>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</si>
  <si>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</si>
  <si>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</si>
  <si>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</si>
  <si>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</si>
  <si>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</si>
  <si>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</si>
  <si>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</si>
  <si>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</si>
  <si>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</si>
  <si>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</si>
  <si>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</si>
  <si>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</si>
  <si>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</si>
  <si>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</si>
  <si>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</si>
  <si>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</si>
  <si>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</si>
  <si>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</si>
  <si>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</si>
  <si>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</si>
  <si>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</si>
  <si>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</si>
  <si>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</si>
  <si>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</si>
  <si>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</si>
  <si>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</si>
  <si>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</si>
  <si>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</si>
  <si>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</si>
  <si>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</si>
  <si>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</si>
  <si>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</si>
  <si>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</si>
  <si>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</si>
  <si>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</si>
  <si>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</si>
  <si>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</si>
  <si>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</si>
  <si>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</si>
  <si>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</si>
  <si>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</si>
  <si>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</si>
  <si>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</si>
  <si>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</si>
  <si>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</si>
  <si>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</si>
  <si>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</si>
  <si>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</si>
  <si>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</si>
  <si>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</si>
  <si>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</si>
  <si>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</si>
  <si>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</si>
  <si>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</si>
  <si>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</si>
  <si>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</si>
  <si>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</si>
  <si>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</si>
  <si>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</si>
  <si>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</si>
  <si>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</si>
  <si>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</si>
  <si>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</si>
  <si>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</si>
  <si>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</si>
  <si>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</si>
  <si>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</si>
  <si>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</si>
  <si>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</si>
  <si>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</si>
  <si>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</si>
  <si>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</si>
  <si>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</si>
  <si>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</si>
  <si>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</si>
  <si>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</si>
  <si>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</si>
  <si>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</si>
  <si>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</si>
  <si>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</si>
  <si>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</si>
  <si>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</si>
  <si>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</si>
  <si>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</si>
  <si>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</si>
  <si>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</si>
  <si>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</si>
  <si>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</si>
  <si>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</si>
  <si>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</si>
  <si>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</si>
  <si>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</si>
  <si>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</si>
  <si>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</si>
  <si>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</si>
  <si>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</si>
  <si>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</si>
  <si>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</si>
  <si>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</si>
  <si>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</si>
  <si>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</si>
  <si>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</si>
  <si>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</si>
  <si>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</si>
  <si>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</si>
  <si>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</si>
  <si>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</si>
  <si>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</si>
  <si>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</si>
  <si>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</si>
  <si>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</si>
  <si>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</si>
  <si>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</si>
  <si>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</si>
  <si>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</si>
  <si>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</si>
  <si>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</si>
  <si>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</si>
  <si>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</si>
  <si>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</si>
  <si>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</si>
  <si>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</si>
  <si>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</si>
  <si>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</si>
  <si>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</si>
  <si>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</si>
  <si>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</si>
  <si>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</si>
  <si>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</si>
  <si>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</si>
  <si>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</si>
  <si>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</si>
  <si>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</si>
  <si>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</si>
  <si>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</si>
  <si>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</si>
  <si>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</si>
  <si>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</si>
  <si>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</si>
  <si>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</si>
  <si>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</si>
  <si>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</si>
  <si>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</si>
  <si>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</si>
  <si>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</si>
  <si>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</si>
  <si>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</si>
  <si>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</si>
  <si>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</si>
  <si>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</si>
  <si>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</si>
  <si>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</si>
  <si>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</si>
  <si>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</si>
  <si>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</si>
  <si>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</si>
  <si>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</si>
  <si>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</si>
  <si>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</si>
  <si>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</si>
  <si>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</si>
  <si>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</si>
  <si>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</si>
  <si>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</si>
  <si>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</si>
  <si>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</si>
  <si>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</si>
  <si>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</si>
  <si>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</si>
  <si>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</si>
  <si>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</si>
  <si>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</si>
  <si>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</si>
  <si>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</si>
  <si>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</si>
  <si>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</si>
  <si>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</si>
  <si>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</si>
  <si>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</si>
  <si>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</si>
  <si>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</si>
  <si>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</si>
  <si>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</si>
  <si>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</si>
  <si>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</si>
  <si>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</si>
  <si>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</si>
  <si>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</si>
  <si>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</si>
  <si>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</si>
  <si>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</si>
  <si>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</si>
  <si>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</si>
  <si>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</si>
  <si>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</si>
  <si>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</si>
  <si>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</si>
  <si>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</si>
  <si>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</si>
  <si>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</si>
  <si>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</si>
  <si>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</si>
  <si>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</si>
  <si>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</si>
  <si>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</si>
  <si>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</si>
  <si>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</si>
  <si>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</si>
  <si>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</si>
  <si>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</si>
  <si>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</si>
  <si>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</si>
  <si>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</si>
  <si>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</si>
  <si>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</si>
  <si>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</si>
  <si>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</si>
  <si>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</si>
  <si>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</si>
  <si>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</si>
  <si>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</si>
  <si>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</si>
  <si>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</si>
  <si>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</si>
  <si>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</si>
  <si>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</si>
  <si>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</si>
  <si>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</si>
  <si>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</si>
  <si>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</si>
  <si>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</si>
  <si>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</si>
  <si>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</si>
  <si>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</si>
  <si>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</si>
  <si>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</si>
  <si>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</si>
  <si>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</si>
  <si>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</si>
  <si>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</si>
  <si>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</si>
  <si>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</si>
  <si>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</si>
  <si>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</si>
  <si>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</si>
  <si>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</si>
  <si>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</si>
  <si>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</si>
  <si>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</si>
  <si>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</si>
  <si>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</si>
  <si>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</si>
  <si>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</si>
  <si>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</si>
  <si>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</si>
  <si>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</si>
  <si>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</si>
  <si>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</si>
  <si>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</si>
  <si>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</si>
  <si>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</si>
  <si>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</si>
  <si>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</si>
  <si>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</si>
  <si>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</si>
  <si>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</si>
  <si>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</si>
  <si>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</si>
  <si>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</si>
  <si>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</si>
  <si>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</si>
  <si>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</si>
  <si>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</si>
  <si>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</si>
  <si>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</si>
  <si>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</si>
  <si>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</si>
  <si>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</si>
  <si>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</si>
  <si>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</si>
  <si>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</si>
  <si>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</si>
  <si>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</si>
  <si>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</si>
  <si>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</si>
  <si>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</si>
  <si>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</si>
  <si>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</si>
  <si>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</si>
  <si>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</si>
  <si>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</si>
  <si>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</si>
  <si>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</si>
  <si>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</si>
  <si>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</si>
  <si>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</si>
  <si>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</si>
  <si>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</si>
  <si>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</si>
  <si>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</si>
  <si>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</si>
  <si>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</si>
  <si>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</si>
  <si>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</si>
  <si>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</si>
  <si>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</si>
  <si>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</si>
  <si>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</si>
  <si>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</si>
  <si>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</si>
  <si>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</si>
  <si>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</si>
  <si>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</si>
  <si>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</si>
  <si>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</si>
  <si>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</si>
  <si>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</si>
  <si>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</si>
  <si>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</si>
  <si>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</si>
  <si>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</si>
  <si>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</si>
  <si>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</si>
  <si>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</si>
  <si>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</si>
  <si>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</si>
  <si>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</si>
  <si>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</si>
  <si>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</si>
  <si>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</si>
  <si>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</si>
  <si>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</si>
  <si>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</si>
  <si>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</si>
  <si>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</si>
  <si>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</si>
  <si>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</si>
  <si>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</si>
  <si>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</si>
  <si>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</si>
  <si>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</si>
  <si>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</si>
  <si>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</si>
  <si>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</si>
  <si>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</si>
  <si>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</si>
  <si>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</si>
  <si>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</si>
  <si>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</si>
  <si>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</si>
  <si>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</si>
  <si>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</si>
  <si>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</si>
  <si>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</si>
  <si>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</si>
  <si>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</si>
  <si>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</si>
  <si>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</si>
  <si>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</si>
  <si>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</si>
  <si>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</si>
  <si>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</si>
  <si>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</si>
  <si>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</si>
  <si>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</si>
  <si>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</si>
  <si>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</si>
  <si>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</si>
  <si>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</si>
  <si>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</si>
  <si>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</si>
  <si>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</si>
  <si>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</si>
  <si>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</si>
  <si>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</si>
  <si>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</si>
  <si>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</si>
  <si>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</si>
  <si>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</si>
  <si>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</si>
  <si>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</si>
  <si>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</si>
  <si>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</si>
  <si>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</si>
  <si>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</si>
  <si>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</si>
  <si>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</si>
  <si>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</si>
  <si>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</si>
  <si>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</si>
  <si>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</si>
  <si>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</si>
  <si>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</si>
  <si>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</si>
  <si>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</si>
  <si>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</si>
  <si>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</si>
  <si>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</si>
  <si>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</si>
  <si>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</si>
  <si>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</si>
  <si>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</si>
  <si>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</si>
  <si>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</si>
  <si>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</si>
  <si>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</si>
  <si>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</si>
  <si>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</si>
  <si>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</si>
  <si>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</si>
  <si>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</si>
  <si>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</si>
  <si>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</si>
  <si>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</si>
  <si>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</si>
  <si>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</si>
  <si>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</si>
  <si>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</si>
  <si>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</si>
  <si>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</si>
  <si>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</si>
  <si>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</si>
  <si>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</si>
  <si>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</si>
  <si>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</si>
  <si>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</si>
  <si>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</si>
  <si>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</si>
  <si>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</si>
  <si>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</si>
  <si>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</si>
  <si>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</si>
  <si>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</si>
  <si>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</si>
  <si>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</si>
  <si>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</si>
  <si>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</si>
  <si>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</si>
  <si>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</si>
  <si>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</si>
  <si>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</si>
  <si>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</si>
  <si>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</si>
  <si>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</si>
  <si>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</si>
  <si>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</si>
  <si>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</si>
  <si>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</si>
  <si>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</si>
  <si>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</si>
  <si>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</si>
  <si>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</si>
  <si>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</si>
  <si>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</si>
  <si>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</si>
  <si>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</si>
  <si>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</si>
  <si>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</si>
  <si>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</si>
  <si>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</si>
  <si>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</si>
  <si>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</si>
  <si>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</si>
  <si>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</si>
  <si>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</si>
  <si>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</si>
  <si>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</si>
  <si>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</si>
  <si>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</si>
  <si>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</si>
  <si>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</si>
  <si>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</si>
  <si>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</si>
  <si>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</si>
  <si>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</si>
  <si>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</si>
  <si>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</si>
  <si>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</si>
  <si>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</si>
  <si>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</si>
  <si>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</si>
  <si>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</si>
  <si>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</si>
  <si>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</si>
  <si>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</si>
  <si>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</si>
  <si>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</si>
  <si>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</si>
  <si>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</si>
  <si>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</si>
  <si>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</si>
  <si>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</si>
  <si>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</si>
  <si>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</si>
  <si>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</si>
  <si>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</si>
  <si>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</si>
  <si>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</si>
  <si>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</si>
  <si>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</si>
  <si>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</si>
  <si>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</si>
  <si>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</si>
  <si>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</si>
  <si>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</si>
  <si>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</si>
  <si>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</si>
  <si>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</si>
  <si>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</si>
  <si>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</si>
  <si>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</si>
  <si>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</si>
  <si>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</si>
  <si>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</si>
  <si>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</si>
  <si>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</si>
  <si>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</si>
  <si>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</si>
  <si>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</si>
  <si>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</si>
  <si>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</si>
  <si>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</si>
  <si>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</si>
  <si>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</si>
  <si>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</si>
  <si>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</si>
  <si>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</si>
  <si>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</si>
  <si>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</si>
  <si>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</si>
  <si>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</si>
  <si>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</si>
  <si>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</si>
  <si>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</si>
  <si>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</si>
  <si>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</si>
  <si>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</si>
  <si>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</si>
  <si>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</si>
  <si>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</si>
  <si>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</si>
  <si>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</si>
  <si>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</si>
  <si>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</si>
  <si>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</si>
  <si>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Column Labels</t>
  </si>
  <si>
    <t>(blank)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</si>
  <si>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</si>
  <si>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</si>
  <si>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</si>
  <si>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</si>
  <si>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</si>
  <si>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</si>
  <si>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</si>
  <si>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</si>
  <si>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</si>
  <si>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</si>
  <si>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</si>
  <si>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</si>
  <si>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Total Users</t>
  </si>
  <si>
    <t>Converted Users</t>
  </si>
  <si>
    <t>conversion_binary</t>
  </si>
  <si>
    <t>P-value</t>
  </si>
  <si>
    <t>Value</t>
  </si>
  <si>
    <t>Test</t>
  </si>
  <si>
    <t>Two-Proportion Z-Test</t>
  </si>
  <si>
    <t>Control Users</t>
  </si>
  <si>
    <t>Treatment Users</t>
  </si>
  <si>
    <t>Control Converted</t>
  </si>
  <si>
    <t>Treatment Converted</t>
  </si>
  <si>
    <t>Z Statistic</t>
  </si>
  <si>
    <t>Alpha</t>
  </si>
  <si>
    <t>Decision</t>
  </si>
  <si>
    <t>Reject H₀</t>
  </si>
  <si>
    <t>Conclusion</t>
  </si>
  <si>
    <t>Treatment significantly improves conversion</t>
  </si>
  <si>
    <t>Summary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</si>
</sst>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Arial Unicode MS"/>
    </font>
    <font>
      <i/>
      <sz val="11"/>
      <name val="Carlito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3"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d" refreshedDate="46199.959092245372" createdVersion="8" refreshedVersion="8" minRefreshableVersion="3" recordCount="1408" xr:uid="{0D8FE3C4-4785-4826-B253-FCF76BA96DCC}">
  <cacheSource type="worksheet">
    <worksheetSource ref="A1:P1409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d" refreshedDate="46199.966965624997" createdVersion="8" refreshedVersion="8" minRefreshableVersion="3" recordCount="1400" xr:uid="{A9344071-B197-4326-A5DE-93E88A81F72C}">
  <cacheSource type="worksheet">
    <worksheetSource ref="A1:P1401" sheet="experiment_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x v="1"/>
    <d v="2025-03-08T00:00:00"/>
    <x v="0"/>
    <s v="West"/>
    <s v="Mobile"/>
    <s v="Organic"/>
    <s v="Free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x v="3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x v="8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x v="9"/>
    <d v="2025-05-29T00:00:00"/>
    <x v="0"/>
    <s v="West"/>
    <s v="Desktop"/>
    <s v="Social"/>
    <s v="Free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x v="11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x v="13"/>
    <d v="2025-03-02T00:00:00"/>
    <x v="0"/>
    <s v="West"/>
    <s v="Mobile"/>
    <s v="Social"/>
    <s v="Basic"/>
    <n v="1"/>
    <n v="0"/>
    <n v="0"/>
    <n v="0"/>
    <n v="0"/>
    <n v="0"/>
    <n v="0"/>
    <m/>
    <n v="82.4"/>
  </r>
  <r>
    <x v="14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x v="15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x v="19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x v="20"/>
    <d v="2025-04-13T00:00:00"/>
    <x v="0"/>
    <s v="East"/>
    <s v="Mobile"/>
    <s v="Social"/>
    <s v="Free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x v="22"/>
    <d v="2025-05-25T00:00:00"/>
    <x v="0"/>
    <s v="North"/>
    <s v="Desktop"/>
    <s v="Organic"/>
    <s v="Free"/>
    <n v="0"/>
    <n v="0"/>
    <n v="0"/>
    <n v="0"/>
    <n v="0"/>
    <n v="0"/>
    <n v="0"/>
    <m/>
    <n v="54"/>
  </r>
  <r>
    <x v="23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x v="27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x v="28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x v="29"/>
    <d v="2025-05-19T00:00:00"/>
    <x v="0"/>
    <s v="East"/>
    <s v="Mobile"/>
    <s v="Social"/>
    <s v="Basic"/>
    <n v="1"/>
    <n v="1"/>
    <n v="1"/>
    <n v="0"/>
    <n v="0"/>
    <n v="0"/>
    <n v="0"/>
    <m/>
    <n v="41"/>
  </r>
  <r>
    <x v="30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x v="31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x v="34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x v="35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s v="Free"/>
    <n v="1"/>
    <n v="1"/>
    <n v="1"/>
    <n v="0"/>
    <n v="0"/>
    <n v="3"/>
    <n v="0"/>
    <m/>
    <n v="48.9"/>
  </r>
  <r>
    <x v="38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x v="39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x v="40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x v="41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x v="42"/>
    <d v="2025-02-14T00:00:00"/>
    <x v="0"/>
    <s v="South"/>
    <s v="Desktop"/>
    <s v="Organic"/>
    <s v="Free"/>
    <n v="0"/>
    <n v="0"/>
    <n v="0"/>
    <n v="0"/>
    <n v="0"/>
    <n v="0"/>
    <n v="0"/>
    <m/>
    <n v="73"/>
  </r>
  <r>
    <x v="43"/>
    <d v="2025-02-27T00:00:00"/>
    <x v="0"/>
    <s v="East"/>
    <s v="Mobile"/>
    <s v="Email"/>
    <s v="Free"/>
    <n v="1"/>
    <n v="0"/>
    <n v="0"/>
    <n v="0"/>
    <n v="0"/>
    <n v="0"/>
    <n v="0"/>
    <m/>
    <n v="65"/>
  </r>
  <r>
    <x v="44"/>
    <d v="2025-03-28T00:00:00"/>
    <x v="0"/>
    <s v="East"/>
    <s v="Mobile"/>
    <s v="Social"/>
    <s v="Free"/>
    <n v="1"/>
    <n v="0"/>
    <n v="0"/>
    <n v="0"/>
    <n v="0"/>
    <n v="4"/>
    <n v="0"/>
    <m/>
    <n v="56.3"/>
  </r>
  <r>
    <x v="45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x v="46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x v="47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x v="48"/>
    <d v="2025-01-08T00:00:00"/>
    <x v="0"/>
    <s v="North"/>
    <s v="Mobile"/>
    <s v="Social"/>
    <s v="Free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x v="50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x v="51"/>
    <d v="2025-02-14T00:00:00"/>
    <x v="0"/>
    <s v="East"/>
    <s v="Desktop"/>
    <s v="Email"/>
    <s v="Premium"/>
    <n v="1"/>
    <n v="0"/>
    <n v="0"/>
    <n v="0"/>
    <n v="0"/>
    <n v="0"/>
    <n v="0"/>
    <m/>
    <n v="63"/>
  </r>
  <r>
    <x v="52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x v="53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x v="54"/>
    <d v="2025-02-19T00:00:00"/>
    <x v="0"/>
    <s v="South"/>
    <s v="Mobile"/>
    <s v="Organic"/>
    <s v="Free"/>
    <n v="0"/>
    <n v="0"/>
    <n v="0"/>
    <n v="0"/>
    <n v="0"/>
    <n v="0"/>
    <n v="0"/>
    <m/>
    <n v="54"/>
  </r>
  <r>
    <x v="55"/>
    <d v="2025-05-17T00:00:00"/>
    <x v="0"/>
    <s v="South"/>
    <s v="Mobile"/>
    <s v="Social"/>
    <s v="Basic"/>
    <n v="1"/>
    <n v="0"/>
    <n v="0"/>
    <n v="0"/>
    <n v="0"/>
    <n v="2"/>
    <n v="0"/>
    <m/>
    <n v="50"/>
  </r>
  <r>
    <x v="56"/>
    <d v="2025-04-01T00:00:00"/>
    <x v="0"/>
    <s v="East"/>
    <s v="Mobile"/>
    <s v="Social"/>
    <s v="Basic"/>
    <n v="0"/>
    <n v="0"/>
    <n v="0"/>
    <n v="0"/>
    <n v="0"/>
    <n v="0"/>
    <n v="0"/>
    <m/>
    <n v="48.1"/>
  </r>
  <r>
    <x v="57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x v="58"/>
    <d v="2025-04-14T00:00:00"/>
    <x v="0"/>
    <s v="North"/>
    <s v="Mobile"/>
    <s v="Social"/>
    <s v="Free"/>
    <n v="0"/>
    <n v="0"/>
    <n v="0"/>
    <n v="0"/>
    <n v="0"/>
    <n v="2"/>
    <n v="0"/>
    <m/>
    <n v="48.9"/>
  </r>
  <r>
    <x v="59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x v="61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x v="62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x v="63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x v="65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x v="66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x v="67"/>
    <d v="2025-05-08T00:00:00"/>
    <x v="0"/>
    <s v="West"/>
    <s v="Mobile"/>
    <s v="Social"/>
    <s v="Free"/>
    <n v="0"/>
    <n v="0"/>
    <n v="0"/>
    <n v="0"/>
    <n v="0"/>
    <n v="0"/>
    <n v="0"/>
    <m/>
    <n v="60.4"/>
  </r>
  <r>
    <x v="68"/>
    <d v="2025-03-19T00:00:00"/>
    <x v="0"/>
    <s v="East"/>
    <s v="Desktop"/>
    <s v="Email"/>
    <s v="Free"/>
    <n v="1"/>
    <n v="1"/>
    <n v="1"/>
    <n v="0"/>
    <n v="0"/>
    <n v="0"/>
    <n v="0"/>
    <m/>
    <n v="55.3"/>
  </r>
  <r>
    <x v="69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x v="70"/>
    <d v="2025-03-08T00:00:00"/>
    <x v="0"/>
    <s v="West"/>
    <s v="Mobile"/>
    <s v="Email"/>
    <s v="Free"/>
    <n v="0"/>
    <n v="0"/>
    <n v="0"/>
    <n v="0"/>
    <n v="0"/>
    <n v="0"/>
    <n v="0"/>
    <m/>
    <n v="29.4"/>
  </r>
  <r>
    <x v="71"/>
    <d v="2025-03-08T00:00:00"/>
    <x v="0"/>
    <s v="East"/>
    <s v="Mobile"/>
    <s v="Email"/>
    <s v="Free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x v="74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x v="75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x v="77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x v="78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s v="Free"/>
    <n v="1"/>
    <n v="0"/>
    <n v="0"/>
    <n v="0"/>
    <n v="0"/>
    <n v="0"/>
    <n v="0"/>
    <m/>
    <n v="44.2"/>
  </r>
  <r>
    <x v="80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x v="81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x v="82"/>
    <d v="2025-04-01T00:00:00"/>
    <x v="0"/>
    <s v="South"/>
    <s v="Desktop"/>
    <s v="Email"/>
    <s v="Free"/>
    <n v="0"/>
    <n v="0"/>
    <n v="0"/>
    <n v="0"/>
    <n v="0"/>
    <n v="0"/>
    <n v="0"/>
    <m/>
    <n v="64.7"/>
  </r>
  <r>
    <x v="83"/>
    <d v="2025-03-03T00:00:00"/>
    <x v="0"/>
    <s v="West"/>
    <s v="Mobile"/>
    <s v="Social"/>
    <s v="Basic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x v="86"/>
    <d v="2025-01-22T00:00:00"/>
    <x v="0"/>
    <s v="West"/>
    <s v="Desktop"/>
    <s v="Social"/>
    <s v="Basic"/>
    <n v="0"/>
    <n v="0"/>
    <n v="0"/>
    <n v="0"/>
    <n v="0"/>
    <n v="0"/>
    <n v="0"/>
    <m/>
    <n v="51"/>
  </r>
  <r>
    <x v="87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x v="88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x v="89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x v="90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x v="91"/>
    <d v="2025-02-27T00:00:00"/>
    <x v="0"/>
    <s v="South"/>
    <s v="Mobile"/>
    <s v="Social"/>
    <s v="Free"/>
    <n v="1"/>
    <n v="0"/>
    <n v="0"/>
    <n v="0"/>
    <n v="0"/>
    <n v="0"/>
    <n v="0"/>
    <m/>
    <n v="42.3"/>
  </r>
  <r>
    <x v="92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x v="93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x v="94"/>
    <d v="2025-04-13T00:00:00"/>
    <x v="0"/>
    <s v="East"/>
    <s v="Mobile"/>
    <s v="Organic"/>
    <s v="Free"/>
    <n v="0"/>
    <n v="0"/>
    <n v="0"/>
    <n v="0"/>
    <n v="0"/>
    <n v="0"/>
    <n v="0"/>
    <m/>
    <n v="84.2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96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x v="97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x v="98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s v="Free"/>
    <n v="1"/>
    <n v="0"/>
    <n v="0"/>
    <n v="0"/>
    <n v="0"/>
    <n v="1"/>
    <n v="0"/>
    <m/>
    <n v="67.2"/>
  </r>
  <r>
    <x v="104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s v="Free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x v="110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x v="111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x v="113"/>
    <d v="2025-01-23T00:00:00"/>
    <x v="0"/>
    <s v="South"/>
    <s v="Mobile"/>
    <s v="Social"/>
    <s v="Free"/>
    <n v="1"/>
    <n v="1"/>
    <n v="0"/>
    <n v="0"/>
    <n v="0"/>
    <n v="0"/>
    <n v="0"/>
    <m/>
    <n v="61.5"/>
  </r>
  <r>
    <x v="114"/>
    <d v="2025-03-28T00:00:00"/>
    <x v="0"/>
    <s v="East"/>
    <s v="Desktop"/>
    <s v="Social"/>
    <s v="Free"/>
    <n v="1"/>
    <n v="0"/>
    <n v="0"/>
    <n v="0"/>
    <n v="0"/>
    <n v="0"/>
    <n v="0"/>
    <m/>
    <n v="63.2"/>
  </r>
  <r>
    <x v="115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x v="118"/>
    <d v="2025-03-18T00:00:00"/>
    <x v="0"/>
    <s v="East"/>
    <s v="Mobile"/>
    <s v="Social"/>
    <s v="Free"/>
    <n v="1"/>
    <n v="1"/>
    <n v="1"/>
    <n v="0"/>
    <n v="0"/>
    <n v="0"/>
    <n v="0"/>
    <m/>
    <n v="39.1"/>
  </r>
  <r>
    <x v="119"/>
    <d v="2025-03-31T00:00:00"/>
    <x v="0"/>
    <s v="North"/>
    <s v="Mobile"/>
    <s v="Email"/>
    <s v="Free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x v="123"/>
    <d v="2025-05-30T00:00:00"/>
    <x v="0"/>
    <s v="West"/>
    <m/>
    <s v="Email"/>
    <s v="Basic"/>
    <n v="1"/>
    <n v="1"/>
    <n v="0"/>
    <n v="0"/>
    <n v="0"/>
    <n v="0"/>
    <n v="0"/>
    <m/>
    <n v="47.9"/>
  </r>
  <r>
    <x v="124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x v="126"/>
    <d v="2025-03-25T00:00:00"/>
    <x v="0"/>
    <s v="North"/>
    <s v="Desktop"/>
    <s v="Email"/>
    <s v="Free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s v="Free"/>
    <n v="1"/>
    <n v="1"/>
    <n v="1"/>
    <n v="0"/>
    <n v="0"/>
    <n v="0"/>
    <n v="0"/>
    <m/>
    <n v="64"/>
  </r>
  <r>
    <x v="128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x v="130"/>
    <d v="2025-02-03T00:00:00"/>
    <x v="0"/>
    <s v="South"/>
    <s v="Mobile"/>
    <s v="Organic"/>
    <s v="Free"/>
    <n v="0"/>
    <n v="0"/>
    <n v="0"/>
    <n v="0"/>
    <n v="0"/>
    <n v="0"/>
    <n v="0"/>
    <m/>
    <n v="33"/>
  </r>
  <r>
    <x v="131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x v="134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x v="135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s v="Basic"/>
    <n v="1"/>
    <n v="1"/>
    <n v="1"/>
    <n v="0"/>
    <n v="0"/>
    <n v="0"/>
    <n v="0"/>
    <m/>
    <n v="59.1"/>
  </r>
  <r>
    <x v="139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x v="140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x v="141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x v="144"/>
    <d v="2025-04-11T00:00:00"/>
    <x v="0"/>
    <s v="East"/>
    <s v="Mobile"/>
    <s v="Organic"/>
    <s v="Free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x v="146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x v="148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x v="151"/>
    <d v="2025-03-13T00:00:00"/>
    <x v="0"/>
    <s v="South"/>
    <s v="Mobile"/>
    <s v="Email"/>
    <s v="Free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s v="Free"/>
    <n v="1"/>
    <n v="1"/>
    <n v="0"/>
    <n v="0"/>
    <n v="0"/>
    <n v="0"/>
    <n v="0"/>
    <m/>
    <m/>
  </r>
  <r>
    <x v="154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x v="156"/>
    <d v="2025-04-22T00:00:00"/>
    <x v="0"/>
    <s v="West"/>
    <s v="Mobile"/>
    <s v="Organic"/>
    <s v="Free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x v="158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x v="160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x v="161"/>
    <d v="2025-02-01T00:00:00"/>
    <x v="0"/>
    <s v="North"/>
    <s v="Mobile"/>
    <s v="Organic"/>
    <s v="Free"/>
    <n v="0"/>
    <n v="0"/>
    <n v="0"/>
    <n v="0"/>
    <n v="0"/>
    <n v="0"/>
    <n v="0"/>
    <m/>
    <m/>
  </r>
  <r>
    <x v="162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x v="163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s v="Free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s v="Free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s v="Free"/>
    <n v="1"/>
    <n v="0"/>
    <n v="0"/>
    <n v="0"/>
    <n v="0"/>
    <n v="1"/>
    <n v="0"/>
    <m/>
    <m/>
  </r>
  <r>
    <x v="168"/>
    <d v="2025-03-10T00:00:00"/>
    <x v="0"/>
    <s v="West"/>
    <s v="Mobile"/>
    <s v="Social"/>
    <s v="Basic"/>
    <n v="0"/>
    <n v="0"/>
    <n v="0"/>
    <n v="0"/>
    <n v="0"/>
    <n v="0"/>
    <n v="0"/>
    <m/>
    <n v="54.5"/>
  </r>
  <r>
    <x v="169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s v="Free"/>
    <n v="1"/>
    <n v="1"/>
    <n v="1"/>
    <n v="0"/>
    <n v="0"/>
    <n v="0"/>
    <n v="0"/>
    <m/>
    <n v="44.4"/>
  </r>
  <r>
    <x v="171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x v="172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x v="173"/>
    <d v="2025-01-26T00:00:00"/>
    <x v="0"/>
    <s v="North"/>
    <s v="Desktop"/>
    <s v="Email"/>
    <s v="Free"/>
    <n v="1"/>
    <n v="0"/>
    <n v="0"/>
    <n v="0"/>
    <n v="0"/>
    <n v="2"/>
    <n v="0"/>
    <m/>
    <n v="28.7"/>
  </r>
  <r>
    <x v="174"/>
    <d v="2025-04-23T00:00:00"/>
    <x v="0"/>
    <s v="East"/>
    <s v="Mobile"/>
    <s v="Social"/>
    <s v="Basic"/>
    <n v="0"/>
    <n v="0"/>
    <n v="0"/>
    <n v="0"/>
    <n v="0"/>
    <n v="0"/>
    <n v="0"/>
    <m/>
    <n v="53"/>
  </r>
  <r>
    <x v="175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x v="176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x v="177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x v="181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x v="183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x v="185"/>
    <d v="2025-04-28T00:00:00"/>
    <x v="0"/>
    <s v="East"/>
    <s v="Tablet"/>
    <s v="Email"/>
    <s v="Basic"/>
    <n v="1"/>
    <n v="1"/>
    <n v="1"/>
    <n v="0"/>
    <n v="0"/>
    <n v="0"/>
    <n v="0"/>
    <m/>
    <n v="80"/>
  </r>
  <r>
    <x v="186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x v="188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s v="Free"/>
    <n v="1"/>
    <n v="0"/>
    <n v="0"/>
    <n v="0"/>
    <n v="0"/>
    <n v="0"/>
    <n v="0"/>
    <m/>
    <n v="62.5"/>
  </r>
  <r>
    <x v="190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x v="196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s v="Basic"/>
    <n v="1"/>
    <n v="0"/>
    <n v="0"/>
    <n v="0"/>
    <n v="0"/>
    <n v="0"/>
    <n v="0"/>
    <m/>
    <n v="64"/>
  </r>
  <r>
    <x v="199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x v="200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x v="201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x v="203"/>
    <d v="2025-01-27T00:00:00"/>
    <x v="0"/>
    <s v="East"/>
    <s v="Mobile"/>
    <s v="Social"/>
    <s v="Basic"/>
    <n v="0"/>
    <n v="0"/>
    <n v="0"/>
    <n v="0"/>
    <n v="0"/>
    <n v="0"/>
    <n v="0"/>
    <m/>
    <n v="84.2"/>
  </r>
  <r>
    <x v="204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s v="Free"/>
    <n v="1"/>
    <n v="0"/>
    <n v="0"/>
    <n v="0"/>
    <n v="0"/>
    <n v="0"/>
    <n v="0"/>
    <m/>
    <n v="54"/>
  </r>
  <r>
    <x v="210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s v="Free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x v="214"/>
    <d v="2025-05-28T00:00:00"/>
    <x v="0"/>
    <s v="South"/>
    <s v="Mobile"/>
    <s v="Email"/>
    <s v="Basic"/>
    <n v="1"/>
    <n v="1"/>
    <n v="1"/>
    <n v="0"/>
    <n v="0"/>
    <n v="0"/>
    <n v="0"/>
    <m/>
    <n v="62.1"/>
  </r>
  <r>
    <x v="215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x v="217"/>
    <d v="2025-02-25T00:00:00"/>
    <x v="0"/>
    <s v="North"/>
    <s v="Tablet"/>
    <s v="Social"/>
    <s v="Free"/>
    <n v="1"/>
    <n v="0"/>
    <n v="0"/>
    <n v="0"/>
    <n v="0"/>
    <n v="0"/>
    <n v="0"/>
    <m/>
    <m/>
  </r>
  <r>
    <x v="218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x v="220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s v="Free"/>
    <n v="1"/>
    <n v="0"/>
    <n v="0"/>
    <n v="0"/>
    <n v="0"/>
    <n v="0"/>
    <n v="0"/>
    <m/>
    <n v="67"/>
  </r>
  <r>
    <x v="222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x v="225"/>
    <d v="2025-03-12T00:00:00"/>
    <x v="0"/>
    <s v="South"/>
    <s v="Mobile"/>
    <s v="Organic"/>
    <s v="Basic"/>
    <n v="1"/>
    <n v="0"/>
    <n v="0"/>
    <n v="0"/>
    <n v="0"/>
    <n v="0"/>
    <n v="0"/>
    <m/>
    <n v="33"/>
  </r>
  <r>
    <x v="226"/>
    <d v="2025-04-20T00:00:00"/>
    <x v="0"/>
    <s v="North"/>
    <s v="Tablet"/>
    <s v="Email"/>
    <s v="Free"/>
    <n v="0"/>
    <n v="0"/>
    <n v="0"/>
    <n v="0"/>
    <n v="0"/>
    <n v="0"/>
    <n v="0"/>
    <m/>
    <n v="52.5"/>
  </r>
  <r>
    <x v="227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x v="232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x v="233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x v="234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x v="235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x v="237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x v="239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x v="240"/>
    <d v="2025-02-23T00:00:00"/>
    <x v="0"/>
    <s v="West"/>
    <s v="Mobile"/>
    <s v="Email"/>
    <s v="Free"/>
    <n v="0"/>
    <n v="0"/>
    <n v="0"/>
    <n v="0"/>
    <n v="0"/>
    <n v="0"/>
    <n v="0"/>
    <m/>
    <n v="65.8"/>
  </r>
  <r>
    <x v="241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x v="242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x v="244"/>
    <d v="2025-01-28T00:00:00"/>
    <x v="0"/>
    <s v="North"/>
    <s v="Mobile"/>
    <s v="Social"/>
    <s v="Free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x v="248"/>
    <d v="2025-05-22T00:00:00"/>
    <x v="0"/>
    <s v="North"/>
    <s v="Mobile"/>
    <s v="Social"/>
    <s v="Free"/>
    <n v="1"/>
    <n v="0"/>
    <n v="0"/>
    <n v="0"/>
    <n v="0"/>
    <n v="0"/>
    <n v="0"/>
    <m/>
    <n v="51.5"/>
  </r>
  <r>
    <x v="249"/>
    <d v="2025-04-25T00:00:00"/>
    <x v="0"/>
    <s v="North"/>
    <s v="Desktop"/>
    <s v="Email"/>
    <s v="Free"/>
    <n v="1"/>
    <n v="0"/>
    <n v="0"/>
    <n v="0"/>
    <n v="0"/>
    <n v="0"/>
    <n v="0"/>
    <m/>
    <n v="70.8"/>
  </r>
  <r>
    <x v="250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s v="Free"/>
    <n v="1"/>
    <n v="0"/>
    <n v="0"/>
    <n v="0"/>
    <n v="0"/>
    <n v="0"/>
    <n v="0"/>
    <m/>
    <n v="61.6"/>
  </r>
  <r>
    <x v="252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x v="256"/>
    <d v="2025-04-21T00:00:00"/>
    <x v="0"/>
    <s v="North"/>
    <s v="Mobile"/>
    <s v="Email"/>
    <s v="Free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x v="258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x v="260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x v="262"/>
    <d v="2025-04-07T00:00:00"/>
    <x v="0"/>
    <s v="West"/>
    <s v="Desktop"/>
    <s v="Organic"/>
    <s v="Basic"/>
    <n v="1"/>
    <n v="0"/>
    <n v="0"/>
    <n v="0"/>
    <n v="0"/>
    <n v="0"/>
    <n v="0"/>
    <m/>
    <n v="45"/>
  </r>
  <r>
    <x v="263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x v="264"/>
    <d v="2025-05-05T00:00:00"/>
    <x v="0"/>
    <s v="West"/>
    <s v="Mobile"/>
    <s v="Social"/>
    <s v="Free"/>
    <n v="0"/>
    <n v="0"/>
    <n v="0"/>
    <n v="0"/>
    <n v="0"/>
    <n v="0"/>
    <n v="0"/>
    <m/>
    <n v="58.1"/>
  </r>
  <r>
    <x v="265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x v="266"/>
    <d v="2025-02-10T00:00:00"/>
    <x v="0"/>
    <s v="East"/>
    <s v="Mobile"/>
    <s v="Social"/>
    <s v="Free"/>
    <n v="0"/>
    <n v="0"/>
    <n v="0"/>
    <n v="0"/>
    <n v="0"/>
    <n v="0"/>
    <n v="0"/>
    <m/>
    <n v="62.8"/>
  </r>
  <r>
    <x v="267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x v="268"/>
    <d v="2025-01-06T00:00:00"/>
    <x v="0"/>
    <s v="East"/>
    <s v="Mobile"/>
    <s v="Referral"/>
    <s v="Free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x v="270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x v="271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x v="275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x v="276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x v="277"/>
    <d v="2025-01-19T00:00:00"/>
    <x v="0"/>
    <s v="North"/>
    <s v="Mobile"/>
    <s v="Email"/>
    <s v="Free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x v="279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s v="Free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x v="282"/>
    <d v="2025-01-21T00:00:00"/>
    <x v="0"/>
    <s v="South"/>
    <s v="Mobile"/>
    <s v="Social"/>
    <s v="Free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x v="286"/>
    <d v="2025-05-31T00:00:00"/>
    <x v="0"/>
    <s v="East"/>
    <s v="Mobile"/>
    <s v="Social"/>
    <s v="Free"/>
    <n v="1"/>
    <n v="0"/>
    <n v="0"/>
    <n v="0"/>
    <n v="0"/>
    <n v="0"/>
    <n v="0"/>
    <m/>
    <n v="41.9"/>
  </r>
  <r>
    <x v="287"/>
    <d v="2025-02-07T00:00:00"/>
    <x v="0"/>
    <s v="West"/>
    <s v="Mobile"/>
    <s v="Email"/>
    <s v="Basic"/>
    <n v="1"/>
    <n v="0"/>
    <n v="0"/>
    <n v="0"/>
    <n v="0"/>
    <n v="0"/>
    <n v="0"/>
    <m/>
    <n v="70.2"/>
  </r>
  <r>
    <x v="288"/>
    <d v="2025-02-10T00:00:00"/>
    <x v="0"/>
    <s v="North"/>
    <s v="Mobile"/>
    <s v="Social"/>
    <s v="Free"/>
    <n v="1"/>
    <n v="0"/>
    <n v="0"/>
    <n v="0"/>
    <n v="0"/>
    <n v="0"/>
    <n v="0"/>
    <m/>
    <n v="42.6"/>
  </r>
  <r>
    <x v="289"/>
    <d v="2025-01-31T00:00:00"/>
    <x v="0"/>
    <s v="West"/>
    <s v="Mobile"/>
    <s v="Social"/>
    <s v="Basic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x v="291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x v="292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x v="293"/>
    <d v="2025-02-16T00:00:00"/>
    <x v="0"/>
    <s v="West"/>
    <s v="Desktop"/>
    <s v="Email"/>
    <s v="Free"/>
    <n v="1"/>
    <n v="0"/>
    <n v="0"/>
    <n v="0"/>
    <n v="0"/>
    <n v="0"/>
    <n v="0"/>
    <m/>
    <n v="40.6"/>
  </r>
  <r>
    <x v="294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x v="296"/>
    <d v="2025-04-13T00:00:00"/>
    <x v="0"/>
    <s v="West"/>
    <s v="Mobile"/>
    <s v="Social"/>
    <s v="Basic"/>
    <n v="1"/>
    <n v="1"/>
    <n v="0"/>
    <n v="0"/>
    <n v="0"/>
    <n v="1"/>
    <n v="0"/>
    <m/>
    <n v="54.8"/>
  </r>
  <r>
    <x v="297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x v="299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s v="Basic"/>
    <n v="1"/>
    <n v="1"/>
    <n v="1"/>
    <n v="0"/>
    <n v="0"/>
    <n v="1"/>
    <n v="0"/>
    <m/>
    <n v="60.5"/>
  </r>
  <r>
    <x v="301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x v="304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x v="305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x v="306"/>
    <d v="2025-02-02T00:00:00"/>
    <x v="0"/>
    <s v="North"/>
    <s v="Mobile"/>
    <s v="Social"/>
    <s v="Free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s v="Free"/>
    <n v="0"/>
    <n v="0"/>
    <n v="0"/>
    <n v="0"/>
    <n v="0"/>
    <n v="0"/>
    <n v="0"/>
    <m/>
    <n v="70"/>
  </r>
  <r>
    <x v="309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x v="310"/>
    <d v="2025-03-08T00:00:00"/>
    <x v="0"/>
    <s v="West"/>
    <s v="Mobile"/>
    <s v="Organic"/>
    <s v="Free"/>
    <n v="0"/>
    <n v="0"/>
    <n v="0"/>
    <n v="0"/>
    <n v="0"/>
    <n v="0"/>
    <n v="0"/>
    <m/>
    <n v="71.2"/>
  </r>
  <r>
    <x v="311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x v="312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x v="313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x v="314"/>
    <d v="2025-01-20T00:00:00"/>
    <x v="0"/>
    <s v="East"/>
    <s v="Mobile"/>
    <s v="Organic"/>
    <s v="Free"/>
    <n v="1"/>
    <n v="1"/>
    <n v="1"/>
    <n v="0"/>
    <n v="0"/>
    <n v="0"/>
    <n v="0"/>
    <m/>
    <n v="53.6"/>
  </r>
  <r>
    <x v="315"/>
    <d v="2025-05-01T00:00:00"/>
    <x v="0"/>
    <s v="East"/>
    <s v="Mobile"/>
    <s v="Email"/>
    <s v="Free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x v="318"/>
    <d v="2025-05-03T00:00:00"/>
    <x v="0"/>
    <s v="North"/>
    <s v="Mobile"/>
    <s v="Organic"/>
    <s v="Free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x v="321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x v="322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x v="323"/>
    <d v="2025-03-18T00:00:00"/>
    <x v="0"/>
    <s v="East"/>
    <s v="Mobile"/>
    <s v="Social"/>
    <s v="Free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x v="325"/>
    <d v="2025-04-02T00:00:00"/>
    <x v="0"/>
    <s v="West"/>
    <s v="Mobile"/>
    <s v="Email"/>
    <s v="Premium"/>
    <n v="1"/>
    <n v="1"/>
    <n v="1"/>
    <n v="0"/>
    <n v="0"/>
    <n v="0"/>
    <n v="0"/>
    <m/>
    <n v="84"/>
  </r>
  <r>
    <x v="326"/>
    <d v="2025-05-10T00:00:00"/>
    <x v="0"/>
    <s v="West"/>
    <s v="Desktop"/>
    <s v="Email"/>
    <s v="Basic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x v="333"/>
    <d v="2025-01-10T00:00:00"/>
    <x v="0"/>
    <s v="West"/>
    <s v="Tablet"/>
    <s v="Social"/>
    <s v="Free"/>
    <n v="1"/>
    <n v="0"/>
    <n v="0"/>
    <n v="0"/>
    <n v="0"/>
    <n v="0"/>
    <n v="0"/>
    <m/>
    <n v="30.8"/>
  </r>
  <r>
    <x v="334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s v="Free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x v="340"/>
    <d v="2025-05-08T00:00:00"/>
    <x v="0"/>
    <s v="West"/>
    <s v="Tablet"/>
    <s v="Organic"/>
    <s v="Free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x v="343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x v="348"/>
    <d v="2025-04-17T00:00:00"/>
    <x v="0"/>
    <s v="East"/>
    <s v="Mobile"/>
    <s v="Organic"/>
    <s v="Free"/>
    <n v="0"/>
    <n v="0"/>
    <n v="0"/>
    <n v="0"/>
    <n v="0"/>
    <n v="0"/>
    <n v="0"/>
    <m/>
    <n v="56"/>
  </r>
  <r>
    <x v="349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x v="350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x v="352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x v="353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s v="Free"/>
    <n v="1"/>
    <n v="1"/>
    <n v="0"/>
    <n v="0"/>
    <n v="0"/>
    <n v="0"/>
    <n v="0"/>
    <m/>
    <n v="91.7"/>
  </r>
  <r>
    <x v="355"/>
    <d v="2025-03-24T00:00:00"/>
    <x v="0"/>
    <s v="West"/>
    <s v="Mobile"/>
    <s v="Social"/>
    <s v="Free"/>
    <n v="0"/>
    <n v="0"/>
    <n v="0"/>
    <n v="0"/>
    <n v="0"/>
    <n v="0"/>
    <n v="0"/>
    <m/>
    <n v="46"/>
  </r>
  <r>
    <x v="356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x v="357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x v="358"/>
    <d v="2025-04-21T00:00:00"/>
    <x v="0"/>
    <s v="South"/>
    <s v="Mobile"/>
    <s v="Organic"/>
    <s v="Basic"/>
    <n v="1"/>
    <n v="1"/>
    <n v="1"/>
    <n v="0"/>
    <n v="0"/>
    <n v="0"/>
    <n v="0"/>
    <m/>
    <n v="63"/>
  </r>
  <r>
    <x v="359"/>
    <d v="2025-01-11T00:00:00"/>
    <x v="0"/>
    <s v="West"/>
    <s v="Mobile"/>
    <s v="Organic"/>
    <s v="Free"/>
    <n v="0"/>
    <n v="0"/>
    <n v="0"/>
    <n v="0"/>
    <n v="0"/>
    <n v="0"/>
    <n v="0"/>
    <m/>
    <n v="28.4"/>
  </r>
  <r>
    <x v="360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x v="362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x v="363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s v="Free"/>
    <n v="1"/>
    <n v="0"/>
    <n v="0"/>
    <n v="0"/>
    <n v="0"/>
    <n v="0"/>
    <n v="0"/>
    <m/>
    <n v="56.4"/>
  </r>
  <r>
    <x v="365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x v="367"/>
    <d v="2025-02-25T00:00:00"/>
    <x v="0"/>
    <s v="South"/>
    <s v="Tablet"/>
    <s v="Organic"/>
    <s v="Free"/>
    <n v="0"/>
    <n v="0"/>
    <n v="0"/>
    <n v="0"/>
    <n v="0"/>
    <n v="0"/>
    <n v="0"/>
    <m/>
    <n v="58"/>
  </r>
  <r>
    <x v="368"/>
    <d v="2025-04-14T00:00:00"/>
    <x v="0"/>
    <s v="South"/>
    <s v="Mobile"/>
    <s v="Referral"/>
    <s v="Free"/>
    <n v="1"/>
    <n v="1"/>
    <n v="1"/>
    <n v="0"/>
    <n v="0"/>
    <n v="0"/>
    <n v="0"/>
    <m/>
    <n v="69"/>
  </r>
  <r>
    <x v="369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x v="370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x v="372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x v="374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x v="375"/>
    <d v="2025-03-14T00:00:00"/>
    <x v="0"/>
    <s v="West"/>
    <s v="Mobile"/>
    <s v="Organic"/>
    <s v="Free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x v="377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x v="380"/>
    <d v="2025-03-23T00:00:00"/>
    <x v="0"/>
    <s v="West"/>
    <s v="Mobile"/>
    <s v="Social"/>
    <s v="Free"/>
    <n v="1"/>
    <n v="1"/>
    <n v="1"/>
    <n v="0"/>
    <n v="0"/>
    <n v="0"/>
    <n v="0"/>
    <m/>
    <n v="76"/>
  </r>
  <r>
    <x v="381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x v="382"/>
    <d v="2025-04-30T00:00:00"/>
    <x v="0"/>
    <s v="East"/>
    <s v="Mobile"/>
    <s v="Organic"/>
    <s v="Free"/>
    <n v="1"/>
    <n v="0"/>
    <n v="0"/>
    <n v="0"/>
    <n v="0"/>
    <n v="0"/>
    <n v="0"/>
    <m/>
    <n v="54.1"/>
  </r>
  <r>
    <x v="383"/>
    <d v="2025-03-07T00:00:00"/>
    <x v="0"/>
    <s v="West"/>
    <s v="Mobile"/>
    <s v="Social"/>
    <s v="Basic"/>
    <n v="1"/>
    <n v="0"/>
    <n v="0"/>
    <n v="0"/>
    <n v="0"/>
    <n v="0"/>
    <n v="0"/>
    <m/>
    <n v="82.4"/>
  </r>
  <r>
    <x v="384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s v="Free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x v="387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x v="390"/>
    <d v="2025-02-13T00:00:00"/>
    <x v="0"/>
    <s v="East"/>
    <s v="Mobile"/>
    <s v="Organic"/>
    <s v="Free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s v="Free"/>
    <n v="0"/>
    <n v="0"/>
    <n v="0"/>
    <n v="0"/>
    <n v="0"/>
    <n v="0"/>
    <n v="0"/>
    <m/>
    <n v="64"/>
  </r>
  <r>
    <x v="393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x v="395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s v="Free"/>
    <n v="1"/>
    <n v="1"/>
    <n v="0"/>
    <n v="0"/>
    <n v="0"/>
    <n v="0"/>
    <n v="0"/>
    <m/>
    <n v="63"/>
  </r>
  <r>
    <x v="397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x v="401"/>
    <d v="2025-01-22T00:00:00"/>
    <x v="0"/>
    <s v="North"/>
    <s v="Mobile"/>
    <s v="Social"/>
    <s v="Basic"/>
    <n v="0"/>
    <n v="0"/>
    <n v="0"/>
    <n v="0"/>
    <n v="0"/>
    <n v="0"/>
    <n v="0"/>
    <m/>
    <n v="56"/>
  </r>
  <r>
    <x v="402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x v="405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x v="406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x v="407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x v="409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x v="413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x v="416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x v="420"/>
    <d v="2025-04-15T00:00:00"/>
    <x v="0"/>
    <s v="South"/>
    <s v="Mobile"/>
    <s v="Email"/>
    <s v="Free"/>
    <n v="1"/>
    <n v="0"/>
    <n v="0"/>
    <n v="0"/>
    <n v="0"/>
    <n v="0"/>
    <n v="0"/>
    <m/>
    <n v="39.1"/>
  </r>
  <r>
    <x v="421"/>
    <d v="2025-04-20T00:00:00"/>
    <x v="0"/>
    <s v="East"/>
    <s v="Desktop"/>
    <s v="Social"/>
    <s v="Free"/>
    <n v="1"/>
    <n v="0"/>
    <n v="0"/>
    <n v="0"/>
    <n v="0"/>
    <n v="0"/>
    <n v="0"/>
    <m/>
    <n v="42.6"/>
  </r>
  <r>
    <x v="422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x v="424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x v="426"/>
    <d v="2025-02-12T00:00:00"/>
    <x v="0"/>
    <s v="East"/>
    <s v="Mobile"/>
    <s v="Organic"/>
    <s v="Free"/>
    <n v="0"/>
    <n v="0"/>
    <n v="0"/>
    <n v="0"/>
    <n v="0"/>
    <n v="2"/>
    <n v="0"/>
    <m/>
    <n v="44.4"/>
  </r>
  <r>
    <x v="427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x v="429"/>
    <d v="2025-01-30T00:00:00"/>
    <x v="0"/>
    <s v="West"/>
    <s v="Mobile"/>
    <s v="Social"/>
    <s v="Free"/>
    <n v="0"/>
    <n v="0"/>
    <n v="0"/>
    <n v="0"/>
    <n v="0"/>
    <n v="0"/>
    <n v="0"/>
    <m/>
    <n v="60.4"/>
  </r>
  <r>
    <x v="430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x v="431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433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x v="438"/>
    <d v="2025-05-22T00:00:00"/>
    <x v="0"/>
    <s v="West"/>
    <s v="Desktop"/>
    <s v="Email"/>
    <s v="Basic"/>
    <n v="0"/>
    <n v="0"/>
    <n v="0"/>
    <n v="0"/>
    <n v="0"/>
    <n v="0"/>
    <n v="0"/>
    <m/>
    <n v="49.2"/>
  </r>
  <r>
    <x v="439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x v="442"/>
    <d v="2025-04-25T00:00:00"/>
    <x v="0"/>
    <s v="South"/>
    <s v="Mobile"/>
    <s v="Social"/>
    <s v="Free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x v="444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x v="446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x v="447"/>
    <d v="2025-04-09T00:00:00"/>
    <x v="0"/>
    <s v="East"/>
    <s v="Mobile"/>
    <s v="Organic"/>
    <s v="Free"/>
    <n v="1"/>
    <n v="0"/>
    <n v="0"/>
    <n v="0"/>
    <n v="0"/>
    <n v="0"/>
    <n v="0"/>
    <m/>
    <n v="68.8"/>
  </r>
  <r>
    <x v="448"/>
    <d v="2025-01-11T00:00:00"/>
    <x v="0"/>
    <s v="West"/>
    <s v="Mobile"/>
    <s v="Organic"/>
    <s v="Free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x v="450"/>
    <d v="2025-02-17T00:00:00"/>
    <x v="0"/>
    <s v="North"/>
    <s v="Tablet"/>
    <s v="Social"/>
    <s v="Free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x v="453"/>
    <d v="2025-04-21T00:00:00"/>
    <x v="0"/>
    <s v="North"/>
    <s v="Mobile"/>
    <s v="Social"/>
    <s v="Free"/>
    <n v="1"/>
    <n v="0"/>
    <n v="0"/>
    <n v="0"/>
    <n v="0"/>
    <n v="0"/>
    <n v="0"/>
    <m/>
    <n v="52.2"/>
  </r>
  <r>
    <x v="454"/>
    <d v="2025-02-25T00:00:00"/>
    <x v="0"/>
    <s v="South"/>
    <s v="Tablet"/>
    <m/>
    <s v="Free"/>
    <n v="0"/>
    <n v="0"/>
    <n v="0"/>
    <n v="0"/>
    <n v="0"/>
    <n v="0"/>
    <n v="0"/>
    <m/>
    <n v="51.5"/>
  </r>
  <r>
    <x v="455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x v="456"/>
    <d v="2025-03-10T00:00:00"/>
    <x v="0"/>
    <s v="North"/>
    <s v="Mobile"/>
    <s v="Email"/>
    <s v="Basic"/>
    <n v="1"/>
    <n v="0"/>
    <n v="0"/>
    <n v="0"/>
    <n v="0"/>
    <n v="1"/>
    <n v="0"/>
    <m/>
    <n v="35.4"/>
  </r>
  <r>
    <x v="457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x v="458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x v="460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x v="461"/>
    <d v="2025-05-19T00:00:00"/>
    <x v="0"/>
    <s v="North"/>
    <m/>
    <s v="Organic"/>
    <s v="Basic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x v="463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x v="464"/>
    <d v="2025-04-12T00:00:00"/>
    <x v="0"/>
    <s v="North"/>
    <s v="Mobile"/>
    <m/>
    <s v="Free"/>
    <n v="0"/>
    <n v="0"/>
    <n v="0"/>
    <n v="0"/>
    <n v="0"/>
    <n v="0"/>
    <n v="0"/>
    <m/>
    <n v="56.5"/>
  </r>
  <r>
    <x v="465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s v="Basic"/>
    <n v="0"/>
    <n v="0"/>
    <n v="0"/>
    <n v="0"/>
    <n v="0"/>
    <n v="0"/>
    <n v="0"/>
    <m/>
    <n v="6.2"/>
  </r>
  <r>
    <x v="467"/>
    <d v="2025-05-21T00:00:00"/>
    <x v="0"/>
    <s v="East"/>
    <s v="Desktop"/>
    <s v="Email"/>
    <s v="Free"/>
    <n v="1"/>
    <n v="1"/>
    <n v="1"/>
    <n v="0"/>
    <n v="0"/>
    <n v="0"/>
    <n v="0"/>
    <m/>
    <n v="54.3"/>
  </r>
  <r>
    <x v="468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x v="470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x v="471"/>
    <d v="2025-03-07T00:00:00"/>
    <x v="0"/>
    <s v="West"/>
    <s v="Mobile"/>
    <s v="Organic"/>
    <s v="Free"/>
    <n v="0"/>
    <n v="0"/>
    <n v="0"/>
    <n v="0"/>
    <n v="0"/>
    <n v="0"/>
    <n v="0"/>
    <m/>
    <n v="67.8"/>
  </r>
  <r>
    <x v="472"/>
    <d v="2025-04-23T00:00:00"/>
    <x v="0"/>
    <s v="South"/>
    <s v="Mobile"/>
    <s v="Social"/>
    <s v="Free"/>
    <n v="0"/>
    <n v="0"/>
    <n v="0"/>
    <n v="0"/>
    <n v="0"/>
    <n v="0"/>
    <n v="0"/>
    <m/>
    <n v="48.7"/>
  </r>
  <r>
    <x v="473"/>
    <d v="2025-03-08T00:00:00"/>
    <x v="0"/>
    <s v="East"/>
    <s v="Mobile"/>
    <s v="Organic"/>
    <s v="Basic"/>
    <n v="0"/>
    <n v="0"/>
    <n v="0"/>
    <n v="0"/>
    <n v="0"/>
    <n v="0"/>
    <n v="0"/>
    <m/>
    <n v="59"/>
  </r>
  <r>
    <x v="474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x v="475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x v="477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x v="478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s v="Free"/>
    <n v="1"/>
    <n v="1"/>
    <n v="1"/>
    <n v="0"/>
    <n v="0"/>
    <n v="0"/>
    <n v="0"/>
    <m/>
    <n v="100"/>
  </r>
  <r>
    <x v="481"/>
    <d v="2025-02-13T00:00:00"/>
    <x v="0"/>
    <s v="North"/>
    <m/>
    <s v="Organic"/>
    <s v="Basic"/>
    <n v="1"/>
    <n v="1"/>
    <n v="1"/>
    <n v="0"/>
    <n v="0"/>
    <n v="0"/>
    <n v="0"/>
    <m/>
    <n v="50.4"/>
  </r>
  <r>
    <x v="482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x v="483"/>
    <d v="2025-04-07T00:00:00"/>
    <x v="0"/>
    <s v="North"/>
    <s v="Mobile"/>
    <s v="Email"/>
    <s v="Free"/>
    <n v="0"/>
    <n v="0"/>
    <n v="0"/>
    <n v="0"/>
    <n v="0"/>
    <n v="0"/>
    <n v="0"/>
    <m/>
    <n v="86.2"/>
  </r>
  <r>
    <x v="484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x v="485"/>
    <d v="2025-02-07T00:00:00"/>
    <x v="0"/>
    <s v="West"/>
    <s v="Mobile"/>
    <s v="Organic"/>
    <s v="Free"/>
    <n v="1"/>
    <n v="0"/>
    <n v="0"/>
    <n v="0"/>
    <n v="0"/>
    <n v="0"/>
    <n v="0"/>
    <m/>
    <n v="50.9"/>
  </r>
  <r>
    <x v="486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x v="492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x v="493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x v="495"/>
    <d v="2025-05-05T00:00:00"/>
    <x v="0"/>
    <s v="South"/>
    <s v="Mobile"/>
    <s v="Email"/>
    <s v="Basic"/>
    <n v="0"/>
    <n v="0"/>
    <n v="0"/>
    <n v="0"/>
    <n v="0"/>
    <n v="1"/>
    <n v="0"/>
    <m/>
    <n v="60.8"/>
  </r>
  <r>
    <x v="496"/>
    <d v="2025-04-16T00:00:00"/>
    <x v="0"/>
    <s v="East"/>
    <s v="Mobile"/>
    <s v="Email"/>
    <s v="Basic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x v="498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x v="500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s v="Free"/>
    <n v="0"/>
    <n v="0"/>
    <n v="0"/>
    <n v="0"/>
    <n v="0"/>
    <n v="0"/>
    <n v="0"/>
    <m/>
    <n v="61.4"/>
  </r>
  <r>
    <x v="502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x v="505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x v="508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x v="510"/>
    <d v="2025-02-11T00:00:00"/>
    <x v="0"/>
    <s v="North"/>
    <s v="Mobile"/>
    <s v="Social"/>
    <s v="Free"/>
    <n v="1"/>
    <n v="1"/>
    <n v="0"/>
    <n v="0"/>
    <n v="0"/>
    <n v="0"/>
    <n v="0"/>
    <m/>
    <n v="56.9"/>
  </r>
  <r>
    <x v="511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x v="512"/>
    <d v="2025-02-13T00:00:00"/>
    <x v="0"/>
    <s v="South"/>
    <s v="Mobile"/>
    <m/>
    <s v="Free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x v="516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x v="517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s v="Free"/>
    <n v="0"/>
    <n v="0"/>
    <n v="0"/>
    <n v="0"/>
    <n v="0"/>
    <n v="0"/>
    <n v="0"/>
    <m/>
    <n v="54"/>
  </r>
  <r>
    <x v="520"/>
    <d v="2025-03-17T00:00:00"/>
    <x v="0"/>
    <s v="West"/>
    <s v="Mobile"/>
    <s v="Organic"/>
    <s v="Free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x v="522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x v="523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x v="524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x v="528"/>
    <d v="2025-05-14T00:00:00"/>
    <x v="0"/>
    <s v="East"/>
    <s v="Tablet"/>
    <s v="Social"/>
    <s v="Free"/>
    <n v="1"/>
    <n v="0"/>
    <n v="0"/>
    <n v="0"/>
    <n v="0"/>
    <n v="0"/>
    <n v="0"/>
    <m/>
    <n v="35.4"/>
  </r>
  <r>
    <x v="529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x v="530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x v="531"/>
    <d v="2025-02-13T00:00:00"/>
    <x v="0"/>
    <s v="West"/>
    <s v="Mobile"/>
    <s v="Organic"/>
    <s v="Free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s v="Free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x v="536"/>
    <d v="2025-03-10T00:00:00"/>
    <x v="0"/>
    <s v="West"/>
    <s v="Tablet"/>
    <s v="Social"/>
    <s v="Basic"/>
    <n v="1"/>
    <n v="1"/>
    <n v="0"/>
    <n v="0"/>
    <n v="0"/>
    <n v="1"/>
    <n v="0"/>
    <m/>
    <n v="65.2"/>
  </r>
  <r>
    <x v="537"/>
    <d v="2025-01-25T00:00:00"/>
    <x v="0"/>
    <s v="East"/>
    <s v="Mobile"/>
    <s v="Social"/>
    <s v="Free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x v="543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x v="544"/>
    <d v="2025-01-01T00:00:00"/>
    <x v="0"/>
    <s v="South"/>
    <s v="Desktop"/>
    <s v="Social"/>
    <s v="Basic"/>
    <n v="0"/>
    <n v="0"/>
    <n v="0"/>
    <n v="0"/>
    <n v="0"/>
    <n v="0"/>
    <n v="0"/>
    <m/>
    <m/>
  </r>
  <r>
    <x v="545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x v="547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x v="548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x v="550"/>
    <d v="2025-02-11T00:00:00"/>
    <x v="0"/>
    <s v="East"/>
    <m/>
    <s v="Social"/>
    <s v="Free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x v="552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s v="Free"/>
    <n v="1"/>
    <n v="0"/>
    <n v="0"/>
    <n v="0"/>
    <n v="0"/>
    <n v="0"/>
    <n v="0"/>
    <m/>
    <n v="89.8"/>
  </r>
  <r>
    <x v="554"/>
    <d v="2025-02-11T00:00:00"/>
    <x v="0"/>
    <s v="South"/>
    <m/>
    <s v="Organic"/>
    <s v="Free"/>
    <n v="1"/>
    <n v="1"/>
    <n v="1"/>
    <n v="0"/>
    <n v="0"/>
    <n v="0"/>
    <n v="0"/>
    <m/>
    <n v="58.3"/>
  </r>
  <r>
    <x v="555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x v="558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x v="559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x v="560"/>
    <d v="2025-02-20T00:00:00"/>
    <x v="0"/>
    <s v="North"/>
    <s v="Mobile"/>
    <s v="Social"/>
    <s v="Basic"/>
    <n v="1"/>
    <n v="0"/>
    <n v="0"/>
    <n v="0"/>
    <n v="0"/>
    <n v="0"/>
    <n v="0"/>
    <m/>
    <n v="25"/>
  </r>
  <r>
    <x v="561"/>
    <d v="2025-03-30T00:00:00"/>
    <x v="0"/>
    <s v="East"/>
    <s v="Mobile"/>
    <s v="Social"/>
    <s v="Basic"/>
    <n v="0"/>
    <n v="0"/>
    <n v="0"/>
    <n v="0"/>
    <n v="0"/>
    <n v="0"/>
    <n v="0"/>
    <m/>
    <n v="53.4"/>
  </r>
  <r>
    <x v="562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x v="565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x v="568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x v="571"/>
    <d v="2025-03-30T00:00:00"/>
    <x v="0"/>
    <s v="East"/>
    <s v="Mobile"/>
    <s v="Email"/>
    <s v="Basic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x v="573"/>
    <d v="2025-02-20T00:00:00"/>
    <x v="0"/>
    <s v="South"/>
    <s v="Mobile"/>
    <s v="Email"/>
    <s v="Free"/>
    <n v="0"/>
    <n v="0"/>
    <n v="0"/>
    <n v="0"/>
    <n v="0"/>
    <n v="2"/>
    <n v="0"/>
    <m/>
    <n v="45.1"/>
  </r>
  <r>
    <x v="574"/>
    <d v="2025-01-13T00:00:00"/>
    <x v="0"/>
    <s v="West"/>
    <s v="Mobile"/>
    <s v="Social"/>
    <s v="Free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x v="576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x v="578"/>
    <d v="2025-03-10T00:00:00"/>
    <x v="0"/>
    <s v="West"/>
    <s v="Tablet"/>
    <s v="Organic"/>
    <s v="Free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x v="584"/>
    <d v="2025-01-08T00:00:00"/>
    <x v="0"/>
    <s v="North"/>
    <s v="Mobile"/>
    <s v="Social"/>
    <s v="Free"/>
    <n v="0"/>
    <n v="0"/>
    <n v="0"/>
    <n v="0"/>
    <n v="0"/>
    <n v="1"/>
    <n v="0"/>
    <m/>
    <n v="46.6"/>
  </r>
  <r>
    <x v="585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s v="Free"/>
    <n v="0"/>
    <n v="0"/>
    <n v="0"/>
    <n v="0"/>
    <n v="0"/>
    <n v="0"/>
    <n v="0"/>
    <m/>
    <n v="21.5"/>
  </r>
  <r>
    <x v="587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s v="Free"/>
    <n v="1"/>
    <n v="1"/>
    <n v="0"/>
    <n v="0"/>
    <n v="0"/>
    <n v="0"/>
    <n v="0"/>
    <m/>
    <n v="53.3"/>
  </r>
  <r>
    <x v="589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x v="591"/>
    <d v="2025-01-29T00:00:00"/>
    <x v="0"/>
    <s v="North"/>
    <s v="Tablet"/>
    <s v="Social"/>
    <s v="Free"/>
    <n v="1"/>
    <n v="0"/>
    <n v="0"/>
    <n v="0"/>
    <n v="0"/>
    <n v="0"/>
    <n v="0"/>
    <m/>
    <n v="69.8"/>
  </r>
  <r>
    <x v="592"/>
    <d v="2025-04-19T00:00:00"/>
    <x v="0"/>
    <s v="East"/>
    <s v="Mobile"/>
    <s v="Email"/>
    <s v="Free"/>
    <n v="1"/>
    <n v="0"/>
    <n v="0"/>
    <n v="0"/>
    <n v="0"/>
    <n v="0"/>
    <n v="0"/>
    <m/>
    <n v="68.2"/>
  </r>
  <r>
    <x v="593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x v="595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x v="597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x v="598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x v="601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x v="603"/>
    <d v="2025-05-17T00:00:00"/>
    <x v="0"/>
    <s v="North"/>
    <s v="Mobile"/>
    <s v="Email"/>
    <s v="Free"/>
    <n v="0"/>
    <n v="0"/>
    <n v="0"/>
    <n v="0"/>
    <n v="0"/>
    <n v="0"/>
    <n v="0"/>
    <m/>
    <n v="54"/>
  </r>
  <r>
    <x v="604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x v="606"/>
    <d v="2025-04-14T00:00:00"/>
    <x v="0"/>
    <s v="West"/>
    <s v="Mobile"/>
    <s v="Organic"/>
    <s v="Free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x v="608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x v="611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x v="613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x v="614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x v="615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x v="617"/>
    <d v="2025-03-01T00:00:00"/>
    <x v="0"/>
    <s v="West"/>
    <s v="Mobile"/>
    <s v="Social"/>
    <s v="Free"/>
    <n v="1"/>
    <n v="0"/>
    <n v="0"/>
    <n v="0"/>
    <n v="0"/>
    <n v="0"/>
    <n v="0"/>
    <m/>
    <n v="54.5"/>
  </r>
  <r>
    <x v="618"/>
    <d v="2025-03-17T00:00:00"/>
    <x v="0"/>
    <s v="West"/>
    <s v="Desktop"/>
    <s v="Email"/>
    <s v="Basic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x v="620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x v="623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x v="624"/>
    <d v="2025-04-05T00:00:00"/>
    <x v="0"/>
    <s v="East"/>
    <s v="Mobile"/>
    <s v="Email"/>
    <s v="Free"/>
    <n v="1"/>
    <n v="1"/>
    <n v="0"/>
    <n v="0"/>
    <n v="0"/>
    <n v="0"/>
    <n v="0"/>
    <m/>
    <n v="72.8"/>
  </r>
  <r>
    <x v="625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x v="629"/>
    <d v="2025-03-22T00:00:00"/>
    <x v="0"/>
    <s v="North"/>
    <s v="Mobile"/>
    <s v="Social"/>
    <s v="Free"/>
    <n v="0"/>
    <n v="0"/>
    <n v="0"/>
    <n v="0"/>
    <n v="0"/>
    <n v="0"/>
    <n v="0"/>
    <m/>
    <n v="45"/>
  </r>
  <r>
    <x v="630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x v="631"/>
    <d v="2025-03-16T00:00:00"/>
    <x v="0"/>
    <s v="North"/>
    <s v="Mobile"/>
    <s v="Social"/>
    <s v="Free"/>
    <n v="1"/>
    <n v="0"/>
    <n v="0"/>
    <n v="0"/>
    <n v="0"/>
    <n v="0"/>
    <n v="0"/>
    <m/>
    <m/>
  </r>
  <r>
    <x v="632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x v="634"/>
    <d v="2025-05-26T00:00:00"/>
    <x v="0"/>
    <s v="East"/>
    <s v="Mobile"/>
    <m/>
    <s v="Premium"/>
    <n v="1"/>
    <n v="0"/>
    <n v="0"/>
    <n v="0"/>
    <n v="0"/>
    <n v="3"/>
    <n v="0"/>
    <m/>
    <n v="56"/>
  </r>
  <r>
    <x v="635"/>
    <d v="2025-01-14T00:00:00"/>
    <x v="0"/>
    <s v="West"/>
    <s v="Mobile"/>
    <s v="Organic"/>
    <s v="Free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x v="637"/>
    <d v="2025-05-12T00:00:00"/>
    <x v="0"/>
    <s v="East"/>
    <s v="Desktop"/>
    <s v="Email"/>
    <s v="Free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x v="639"/>
    <d v="2025-04-09T00:00:00"/>
    <x v="0"/>
    <s v="East"/>
    <s v="Mobile"/>
    <s v="Social"/>
    <s v="Basic"/>
    <n v="0"/>
    <n v="0"/>
    <n v="0"/>
    <n v="0"/>
    <n v="0"/>
    <n v="0"/>
    <n v="0"/>
    <m/>
    <n v="57.8"/>
  </r>
  <r>
    <x v="640"/>
    <d v="2025-05-26T00:00:00"/>
    <x v="0"/>
    <s v="North"/>
    <s v="Mobile"/>
    <s v="Social"/>
    <s v="Free"/>
    <n v="1"/>
    <n v="0"/>
    <n v="0"/>
    <n v="0"/>
    <n v="0"/>
    <n v="0"/>
    <n v="0"/>
    <m/>
    <n v="52.7"/>
  </r>
  <r>
    <x v="641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x v="642"/>
    <d v="2025-04-01T00:00:00"/>
    <x v="0"/>
    <s v="North"/>
    <s v="Desktop"/>
    <s v="Email"/>
    <s v="Basic"/>
    <n v="0"/>
    <n v="0"/>
    <n v="0"/>
    <n v="0"/>
    <n v="0"/>
    <n v="0"/>
    <n v="0"/>
    <m/>
    <n v="57"/>
  </r>
  <r>
    <x v="643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x v="644"/>
    <d v="2025-04-06T00:00:00"/>
    <x v="0"/>
    <s v="East"/>
    <s v="Tablet"/>
    <s v="Organic"/>
    <s v="Free"/>
    <n v="1"/>
    <n v="0"/>
    <n v="0"/>
    <n v="0"/>
    <n v="0"/>
    <n v="0"/>
    <n v="0"/>
    <m/>
    <n v="76.5"/>
  </r>
  <r>
    <x v="645"/>
    <d v="2025-04-17T00:00:00"/>
    <x v="0"/>
    <s v="East"/>
    <s v="Mobile"/>
    <s v="Organic"/>
    <s v="Free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x v="647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x v="651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x v="652"/>
    <d v="2025-05-09T00:00:00"/>
    <x v="0"/>
    <s v="West"/>
    <s v="Mobile"/>
    <s v="Organic"/>
    <s v="Free"/>
    <n v="1"/>
    <n v="0"/>
    <n v="0"/>
    <n v="0"/>
    <n v="0"/>
    <n v="1"/>
    <n v="0"/>
    <m/>
    <n v="55.9"/>
  </r>
  <r>
    <x v="653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x v="654"/>
    <d v="2025-01-12T00:00:00"/>
    <x v="0"/>
    <s v="West"/>
    <s v="Mobile"/>
    <s v="Organic"/>
    <s v="Free"/>
    <n v="0"/>
    <n v="0"/>
    <n v="0"/>
    <n v="0"/>
    <n v="0"/>
    <n v="0"/>
    <n v="0"/>
    <m/>
    <n v="46.3"/>
  </r>
  <r>
    <x v="655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x v="656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x v="657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x v="658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x v="663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x v="667"/>
    <d v="2025-01-30T00:00:00"/>
    <x v="0"/>
    <s v="South"/>
    <s v="Mobile"/>
    <s v="Social"/>
    <s v="Free"/>
    <n v="1"/>
    <n v="1"/>
    <n v="0"/>
    <n v="0"/>
    <n v="0"/>
    <n v="1"/>
    <n v="0"/>
    <m/>
    <n v="44.8"/>
  </r>
  <r>
    <x v="668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x v="671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x v="672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x v="676"/>
    <d v="2025-05-03T00:00:00"/>
    <x v="0"/>
    <s v="West"/>
    <s v="Tablet"/>
    <s v="Organic"/>
    <s v="Free"/>
    <n v="1"/>
    <n v="0"/>
    <n v="0"/>
    <n v="0"/>
    <n v="0"/>
    <n v="0"/>
    <n v="0"/>
    <m/>
    <n v="47.5"/>
  </r>
  <r>
    <x v="677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x v="680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x v="682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x v="684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x v="686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x v="688"/>
    <d v="2025-05-27T00:00:00"/>
    <x v="0"/>
    <s v="North"/>
    <s v="Desktop"/>
    <m/>
    <s v="Premium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x v="690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x v="691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x v="692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x v="693"/>
    <d v="2025-03-27T00:00:00"/>
    <x v="1"/>
    <s v="North"/>
    <s v="Desktop"/>
    <s v="Social"/>
    <s v="Free"/>
    <n v="1"/>
    <n v="0"/>
    <n v="0"/>
    <n v="0"/>
    <n v="0"/>
    <n v="0"/>
    <n v="0"/>
    <m/>
    <m/>
  </r>
  <r>
    <x v="694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x v="695"/>
    <d v="2025-03-19T00:00:00"/>
    <x v="1"/>
    <s v="East"/>
    <s v="Desktop"/>
    <s v="Email"/>
    <s v="Free"/>
    <n v="1"/>
    <n v="0"/>
    <n v="0"/>
    <n v="0"/>
    <n v="0"/>
    <n v="0"/>
    <n v="0"/>
    <m/>
    <n v="45.2"/>
  </r>
  <r>
    <x v="696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x v="700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s v="Free"/>
    <n v="1"/>
    <n v="0"/>
    <n v="0"/>
    <n v="0"/>
    <n v="0"/>
    <n v="0"/>
    <n v="0"/>
    <m/>
    <n v="69.2"/>
  </r>
  <r>
    <x v="702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x v="703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x v="705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s v="Basic"/>
    <n v="1"/>
    <n v="0"/>
    <n v="0"/>
    <n v="0"/>
    <n v="0"/>
    <n v="0"/>
    <n v="0"/>
    <m/>
    <m/>
  </r>
  <r>
    <x v="707"/>
    <d v="2025-05-11T00:00:00"/>
    <x v="1"/>
    <s v="South"/>
    <s v="Mobile"/>
    <s v="Email"/>
    <s v="Free"/>
    <n v="0"/>
    <n v="0"/>
    <n v="0"/>
    <n v="0"/>
    <n v="0"/>
    <n v="0"/>
    <n v="0"/>
    <m/>
    <n v="55.2"/>
  </r>
  <r>
    <x v="708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x v="709"/>
    <d v="2025-03-03T00:00:00"/>
    <x v="1"/>
    <s v="South"/>
    <s v="Mobile"/>
    <s v="Social"/>
    <s v="Free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x v="711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x v="712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x v="715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x v="719"/>
    <d v="2025-01-17T00:00:00"/>
    <x v="1"/>
    <s v="West"/>
    <s v="Desktop"/>
    <s v="Email"/>
    <s v="Free"/>
    <n v="0"/>
    <n v="0"/>
    <n v="0"/>
    <n v="0"/>
    <n v="0"/>
    <n v="2"/>
    <n v="0"/>
    <m/>
    <n v="61.6"/>
  </r>
  <r>
    <x v="720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x v="722"/>
    <d v="2025-03-13T00:00:00"/>
    <x v="1"/>
    <s v="South"/>
    <s v="Mobile"/>
    <m/>
    <s v="Free"/>
    <n v="0"/>
    <n v="0"/>
    <n v="0"/>
    <n v="0"/>
    <n v="0"/>
    <n v="0"/>
    <n v="0"/>
    <m/>
    <n v="57.7"/>
  </r>
  <r>
    <x v="723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x v="725"/>
    <d v="2025-02-09T00:00:00"/>
    <x v="1"/>
    <s v="East"/>
    <s v="Mobile"/>
    <s v="Social"/>
    <s v="Free"/>
    <n v="1"/>
    <n v="1"/>
    <n v="1"/>
    <n v="0"/>
    <n v="0"/>
    <n v="0"/>
    <n v="0"/>
    <m/>
    <n v="78"/>
  </r>
  <r>
    <x v="726"/>
    <d v="2025-04-09T00:00:00"/>
    <x v="1"/>
    <s v="East"/>
    <s v="Desktop"/>
    <s v="Social"/>
    <s v="Free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x v="728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x v="734"/>
    <d v="2025-03-28T00:00:00"/>
    <x v="1"/>
    <s v="East"/>
    <s v="Desktop"/>
    <s v="Email"/>
    <s v="Free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x v="736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x v="738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x v="740"/>
    <d v="2025-03-30T00:00:00"/>
    <x v="1"/>
    <s v="North"/>
    <s v="Desktop"/>
    <m/>
    <s v="Premium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x v="742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x v="744"/>
    <d v="2025-01-04T00:00:00"/>
    <x v="1"/>
    <s v="East"/>
    <s v="Mobile"/>
    <s v="Email"/>
    <s v="Free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x v="746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s v="Free"/>
    <n v="0"/>
    <n v="0"/>
    <n v="0"/>
    <n v="0"/>
    <n v="0"/>
    <n v="0"/>
    <n v="0"/>
    <m/>
    <n v="49"/>
  </r>
  <r>
    <x v="749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x v="752"/>
    <d v="2025-03-19T00:00:00"/>
    <x v="1"/>
    <s v="East"/>
    <s v="Tablet"/>
    <s v="Organic"/>
    <s v="Free"/>
    <n v="1"/>
    <n v="0"/>
    <n v="0"/>
    <n v="0"/>
    <n v="0"/>
    <n v="0"/>
    <n v="0"/>
    <m/>
    <n v="61.2"/>
  </r>
  <r>
    <x v="753"/>
    <d v="2025-04-24T00:00:00"/>
    <x v="1"/>
    <s v="East"/>
    <s v="Mobile"/>
    <s v="Organic"/>
    <s v="Free"/>
    <n v="1"/>
    <n v="0"/>
    <n v="0"/>
    <n v="0"/>
    <n v="0"/>
    <n v="1"/>
    <n v="0"/>
    <m/>
    <n v="56.4"/>
  </r>
  <r>
    <x v="754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x v="756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x v="759"/>
    <d v="2025-03-15T00:00:00"/>
    <x v="1"/>
    <s v="West"/>
    <s v="Desktop"/>
    <s v="Social"/>
    <s v="Free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s v="Free"/>
    <n v="0"/>
    <n v="0"/>
    <n v="0"/>
    <n v="0"/>
    <n v="0"/>
    <n v="0"/>
    <n v="0"/>
    <m/>
    <m/>
  </r>
  <r>
    <x v="762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x v="765"/>
    <d v="2025-01-14T00:00:00"/>
    <x v="1"/>
    <s v="West"/>
    <m/>
    <s v="Email"/>
    <s v="Basic"/>
    <n v="1"/>
    <n v="1"/>
    <n v="1"/>
    <n v="0"/>
    <n v="0"/>
    <n v="1"/>
    <n v="0"/>
    <m/>
    <n v="59.3"/>
  </r>
  <r>
    <x v="766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x v="767"/>
    <d v="2025-01-16T00:00:00"/>
    <x v="1"/>
    <s v="East"/>
    <s v="Mobile"/>
    <s v="Referral"/>
    <s v="Free"/>
    <n v="1"/>
    <n v="0"/>
    <n v="0"/>
    <n v="0"/>
    <n v="0"/>
    <n v="0"/>
    <n v="0"/>
    <m/>
    <n v="75"/>
  </r>
  <r>
    <x v="768"/>
    <d v="2025-01-04T00:00:00"/>
    <x v="1"/>
    <s v="East"/>
    <s v="Mobile"/>
    <s v="Social"/>
    <s v="Free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x v="770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s v="Free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s v="Free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x v="778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x v="781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x v="782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s v="Free"/>
    <n v="1"/>
    <n v="0"/>
    <n v="0"/>
    <n v="0"/>
    <n v="0"/>
    <n v="0"/>
    <n v="0"/>
    <m/>
    <n v="58"/>
  </r>
  <r>
    <x v="784"/>
    <d v="2025-02-19T00:00:00"/>
    <x v="1"/>
    <s v="North"/>
    <s v="Mobile"/>
    <s v="Email"/>
    <s v="Basic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x v="786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x v="787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x v="788"/>
    <d v="2025-05-30T00:00:00"/>
    <x v="1"/>
    <s v="West"/>
    <s v="Mobile"/>
    <s v="Organic"/>
    <s v="Free"/>
    <n v="0"/>
    <n v="0"/>
    <n v="0"/>
    <n v="0"/>
    <n v="0"/>
    <n v="0"/>
    <n v="0"/>
    <m/>
    <n v="53.1"/>
  </r>
  <r>
    <x v="789"/>
    <d v="2025-01-20T00:00:00"/>
    <x v="1"/>
    <s v="West"/>
    <s v="Mobile"/>
    <s v="Organic"/>
    <s v="Free"/>
    <n v="0"/>
    <n v="0"/>
    <n v="0"/>
    <n v="0"/>
    <n v="0"/>
    <n v="0"/>
    <n v="0"/>
    <m/>
    <n v="66"/>
  </r>
  <r>
    <x v="790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x v="791"/>
    <d v="2025-03-04T00:00:00"/>
    <x v="1"/>
    <s v="West"/>
    <s v="Mobile"/>
    <s v="Social"/>
    <s v="Free"/>
    <n v="1"/>
    <n v="1"/>
    <n v="0"/>
    <n v="0"/>
    <n v="0"/>
    <n v="1"/>
    <n v="0"/>
    <m/>
    <n v="41.2"/>
  </r>
  <r>
    <x v="792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x v="794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x v="795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x v="796"/>
    <d v="2025-03-07T00:00:00"/>
    <x v="1"/>
    <s v="West"/>
    <s v="Desktop"/>
    <s v="Social"/>
    <s v="Free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x v="799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x v="800"/>
    <d v="2025-01-25T00:00:00"/>
    <x v="1"/>
    <s v="North"/>
    <s v="Desktop"/>
    <s v="Social"/>
    <s v="Free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x v="802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x v="803"/>
    <d v="2025-03-19T00:00:00"/>
    <x v="1"/>
    <s v="West"/>
    <s v="Mobile"/>
    <s v="Social"/>
    <s v="Free"/>
    <n v="0"/>
    <n v="0"/>
    <n v="0"/>
    <n v="0"/>
    <n v="0"/>
    <n v="2"/>
    <n v="0"/>
    <m/>
    <n v="44.3"/>
  </r>
  <r>
    <x v="804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x v="809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x v="810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s v="Free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x v="816"/>
    <d v="2025-03-31T00:00:00"/>
    <x v="1"/>
    <s v="East"/>
    <s v="Mobile"/>
    <s v="Email"/>
    <s v="Free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x v="818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s v="Free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x v="821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x v="822"/>
    <d v="2025-01-02T00:00:00"/>
    <x v="1"/>
    <s v="East"/>
    <s v="Desktop"/>
    <s v="Social"/>
    <s v="Basic"/>
    <n v="1"/>
    <n v="0"/>
    <n v="0"/>
    <n v="0"/>
    <n v="0"/>
    <n v="2"/>
    <n v="0"/>
    <m/>
    <n v="73"/>
  </r>
  <r>
    <x v="823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x v="824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x v="826"/>
    <d v="2025-01-05T00:00:00"/>
    <x v="1"/>
    <s v="West"/>
    <s v="Mobile"/>
    <s v="Email"/>
    <s v="Basic"/>
    <n v="1"/>
    <n v="0"/>
    <n v="0"/>
    <n v="0"/>
    <n v="0"/>
    <n v="0"/>
    <n v="0"/>
    <m/>
    <n v="61"/>
  </r>
  <r>
    <x v="827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x v="829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s v="Free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x v="835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x v="838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x v="839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x v="841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x v="842"/>
    <d v="2025-02-08T00:00:00"/>
    <x v="1"/>
    <s v="South"/>
    <s v="Mobile"/>
    <s v="Organic"/>
    <s v="Premium"/>
    <n v="1"/>
    <n v="0"/>
    <n v="0"/>
    <n v="0"/>
    <n v="0"/>
    <n v="0"/>
    <n v="0"/>
    <m/>
    <m/>
  </r>
  <r>
    <x v="843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x v="844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x v="846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x v="848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x v="849"/>
    <d v="2025-01-24T00:00:00"/>
    <x v="1"/>
    <s v="East"/>
    <s v="Mobile"/>
    <s v="Organic"/>
    <s v="Free"/>
    <n v="0"/>
    <n v="0"/>
    <n v="0"/>
    <n v="0"/>
    <n v="0"/>
    <n v="0"/>
    <n v="0"/>
    <m/>
    <n v="46"/>
  </r>
  <r>
    <x v="850"/>
    <d v="2025-01-31T00:00:00"/>
    <x v="1"/>
    <s v="East"/>
    <s v="Desktop"/>
    <s v="Email"/>
    <s v="Free"/>
    <n v="1"/>
    <n v="1"/>
    <n v="1"/>
    <n v="0"/>
    <n v="0"/>
    <n v="0"/>
    <n v="0"/>
    <m/>
    <n v="88.4"/>
  </r>
  <r>
    <x v="851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x v="853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x v="857"/>
    <d v="2025-01-10T00:00:00"/>
    <x v="1"/>
    <s v="West"/>
    <s v="Desktop"/>
    <s v="Social"/>
    <s v="Free"/>
    <n v="0"/>
    <n v="0"/>
    <n v="0"/>
    <n v="0"/>
    <n v="0"/>
    <n v="0"/>
    <n v="0"/>
    <m/>
    <n v="71.8"/>
  </r>
  <r>
    <x v="858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x v="863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x v="864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x v="867"/>
    <d v="2025-04-21T00:00:00"/>
    <x v="1"/>
    <s v="North"/>
    <s v="Mobile"/>
    <s v="Social"/>
    <s v="Free"/>
    <n v="0"/>
    <n v="0"/>
    <n v="0"/>
    <n v="0"/>
    <n v="0"/>
    <n v="0"/>
    <n v="0"/>
    <m/>
    <n v="79.8"/>
  </r>
  <r>
    <x v="868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s v="Free"/>
    <n v="1"/>
    <n v="0"/>
    <n v="0"/>
    <n v="0"/>
    <n v="0"/>
    <n v="0"/>
    <n v="0"/>
    <m/>
    <n v="27.6"/>
  </r>
  <r>
    <x v="871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x v="872"/>
    <d v="2025-04-22T00:00:00"/>
    <x v="1"/>
    <s v="West"/>
    <m/>
    <s v="Social"/>
    <s v="Free"/>
    <n v="1"/>
    <n v="0"/>
    <n v="0"/>
    <n v="0"/>
    <n v="0"/>
    <n v="0"/>
    <n v="0"/>
    <m/>
    <n v="67.8"/>
  </r>
  <r>
    <x v="873"/>
    <d v="2025-05-04T00:00:00"/>
    <x v="1"/>
    <s v="West"/>
    <s v="Desktop"/>
    <s v="Social"/>
    <s v="Free"/>
    <n v="1"/>
    <n v="0"/>
    <n v="0"/>
    <n v="0"/>
    <n v="0"/>
    <n v="0"/>
    <n v="0"/>
    <m/>
    <n v="80"/>
  </r>
  <r>
    <x v="874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x v="876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x v="878"/>
    <d v="2025-05-22T00:00:00"/>
    <x v="1"/>
    <s v="West"/>
    <s v="Mobile"/>
    <s v="Social"/>
    <s v="Basic"/>
    <n v="0"/>
    <n v="0"/>
    <n v="0"/>
    <n v="0"/>
    <n v="0"/>
    <n v="0"/>
    <n v="0"/>
    <m/>
    <n v="86.9"/>
  </r>
  <r>
    <x v="879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x v="882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x v="883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x v="884"/>
    <d v="2025-03-29T00:00:00"/>
    <x v="1"/>
    <s v="East"/>
    <s v="Mobile"/>
    <s v="Social"/>
    <s v="Free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x v="886"/>
    <d v="2025-05-30T00:00:00"/>
    <x v="1"/>
    <s v="South"/>
    <s v="Mobile"/>
    <s v="Email"/>
    <s v="Free"/>
    <n v="1"/>
    <n v="0"/>
    <n v="0"/>
    <n v="0"/>
    <n v="0"/>
    <n v="0"/>
    <n v="0"/>
    <m/>
    <n v="42.4"/>
  </r>
  <r>
    <x v="887"/>
    <d v="2025-04-06T00:00:00"/>
    <x v="1"/>
    <s v="East"/>
    <s v="Desktop"/>
    <s v="Email"/>
    <s v="Free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x v="890"/>
    <d v="2025-03-04T00:00:00"/>
    <x v="1"/>
    <s v="West"/>
    <s v="Mobile"/>
    <s v="Email"/>
    <s v="Basic"/>
    <n v="1"/>
    <n v="0"/>
    <n v="0"/>
    <n v="0"/>
    <n v="0"/>
    <n v="0"/>
    <n v="0"/>
    <m/>
    <n v="82.4"/>
  </r>
  <r>
    <x v="891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x v="892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x v="894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x v="897"/>
    <d v="2025-02-02T00:00:00"/>
    <x v="1"/>
    <s v="South"/>
    <s v="Mobile"/>
    <m/>
    <s v="Free"/>
    <n v="1"/>
    <n v="0"/>
    <n v="0"/>
    <n v="0"/>
    <n v="0"/>
    <n v="0"/>
    <n v="0"/>
    <m/>
    <n v="100"/>
  </r>
  <r>
    <x v="898"/>
    <d v="2025-04-03T00:00:00"/>
    <x v="1"/>
    <s v="South"/>
    <s v="Mobile"/>
    <s v="Social"/>
    <s v="Free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x v="901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s v="Free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x v="907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s v="Free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x v="913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x v="915"/>
    <d v="2025-03-03T00:00:00"/>
    <x v="1"/>
    <s v="South"/>
    <s v="Mobile"/>
    <s v="Social"/>
    <s v="Free"/>
    <n v="1"/>
    <n v="0"/>
    <n v="0"/>
    <n v="0"/>
    <n v="0"/>
    <n v="0"/>
    <n v="0"/>
    <m/>
    <n v="64.5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x v="918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x v="919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x v="920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x v="922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x v="923"/>
    <d v="2025-03-12T00:00:00"/>
    <x v="1"/>
    <s v="West"/>
    <s v="Mobile"/>
    <s v="Email"/>
    <s v="Basic"/>
    <n v="1"/>
    <n v="0"/>
    <n v="0"/>
    <n v="0"/>
    <n v="0"/>
    <n v="0"/>
    <n v="0"/>
    <m/>
    <n v="48.8"/>
  </r>
  <r>
    <x v="924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x v="925"/>
    <d v="2025-01-15T00:00:00"/>
    <x v="1"/>
    <s v="East"/>
    <s v="Mobile"/>
    <s v="Referral"/>
    <s v="Free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x v="929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x v="934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x v="936"/>
    <d v="2025-05-21T00:00:00"/>
    <x v="1"/>
    <s v="South"/>
    <s v="Desktop"/>
    <m/>
    <s v="Basic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x v="939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x v="940"/>
    <d v="2025-01-15T00:00:00"/>
    <x v="1"/>
    <s v="East"/>
    <s v="Mobile"/>
    <s v="Email"/>
    <s v="Free"/>
    <n v="1"/>
    <n v="1"/>
    <n v="1"/>
    <n v="0"/>
    <n v="0"/>
    <n v="2"/>
    <n v="0"/>
    <m/>
    <n v="76.5"/>
  </r>
  <r>
    <x v="941"/>
    <d v="2025-01-03T00:00:00"/>
    <x v="1"/>
    <s v="South"/>
    <s v="Mobile"/>
    <s v="Organic"/>
    <s v="Basic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x v="944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x v="945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s v="Free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x v="951"/>
    <d v="2025-04-13T00:00:00"/>
    <x v="1"/>
    <s v="West"/>
    <s v="Mobile"/>
    <m/>
    <s v="Premium"/>
    <n v="1"/>
    <n v="0"/>
    <n v="0"/>
    <n v="0"/>
    <n v="0"/>
    <n v="0"/>
    <n v="0"/>
    <m/>
    <n v="57.1"/>
  </r>
  <r>
    <x v="952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x v="955"/>
    <d v="2025-01-14T00:00:00"/>
    <x v="1"/>
    <s v="West"/>
    <s v="Mobile"/>
    <s v="Referral"/>
    <s v="Free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x v="957"/>
    <d v="2025-05-02T00:00:00"/>
    <x v="1"/>
    <s v="West"/>
    <s v="Desktop"/>
    <s v="Social"/>
    <s v="Free"/>
    <n v="0"/>
    <n v="0"/>
    <n v="0"/>
    <n v="0"/>
    <n v="0"/>
    <n v="1"/>
    <n v="0"/>
    <m/>
    <n v="60.8"/>
  </r>
  <r>
    <x v="958"/>
    <d v="2025-05-21T00:00:00"/>
    <x v="1"/>
    <s v="East"/>
    <s v="Mobile"/>
    <s v="Organic"/>
    <s v="Free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x v="960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x v="961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x v="963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x v="964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x v="965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s v="Free"/>
    <n v="1"/>
    <n v="0"/>
    <n v="0"/>
    <n v="0"/>
    <n v="0"/>
    <n v="0"/>
    <n v="0"/>
    <m/>
    <n v="59"/>
  </r>
  <r>
    <x v="967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s v="Free"/>
    <n v="0"/>
    <n v="0"/>
    <n v="0"/>
    <n v="0"/>
    <n v="0"/>
    <n v="0"/>
    <n v="0"/>
    <m/>
    <n v="64.3"/>
  </r>
  <r>
    <x v="969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x v="970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x v="972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x v="974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x v="975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x v="977"/>
    <d v="2025-01-03T00:00:00"/>
    <x v="1"/>
    <s v="West"/>
    <s v="Desktop"/>
    <s v="Email"/>
    <s v="Basic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x v="981"/>
    <d v="2025-04-10T00:00:00"/>
    <x v="1"/>
    <s v="South"/>
    <s v="Desktop"/>
    <s v="Email"/>
    <s v="Free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x v="986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x v="987"/>
    <d v="2025-04-19T00:00:00"/>
    <x v="1"/>
    <s v="West"/>
    <s v="Tablet"/>
    <s v="Email"/>
    <s v="Basic"/>
    <n v="1"/>
    <n v="0"/>
    <n v="0"/>
    <n v="0"/>
    <n v="0"/>
    <n v="0"/>
    <n v="0"/>
    <m/>
    <n v="64.2"/>
  </r>
  <r>
    <x v="988"/>
    <d v="2025-04-11T00:00:00"/>
    <x v="1"/>
    <s v="West"/>
    <s v="Desktop"/>
    <s v="Organic"/>
    <s v="Free"/>
    <n v="0"/>
    <n v="0"/>
    <n v="0"/>
    <n v="0"/>
    <n v="0"/>
    <n v="0"/>
    <n v="0"/>
    <m/>
    <n v="60"/>
  </r>
  <r>
    <x v="989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x v="990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x v="994"/>
    <d v="2025-03-20T00:00:00"/>
    <x v="1"/>
    <s v="East"/>
    <s v="Tablet"/>
    <s v="Social"/>
    <s v="Free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x v="998"/>
    <d v="2025-02-05T00:00:00"/>
    <x v="1"/>
    <s v="East"/>
    <s v="Mobile"/>
    <s v="Social"/>
    <s v="Basic"/>
    <n v="1"/>
    <n v="1"/>
    <n v="1"/>
    <n v="0"/>
    <n v="0"/>
    <n v="0"/>
    <n v="0"/>
    <m/>
    <n v="70.3"/>
  </r>
  <r>
    <x v="999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x v="1004"/>
    <d v="2025-05-03T00:00:00"/>
    <x v="1"/>
    <s v="East"/>
    <s v="Mobile"/>
    <s v="Email"/>
    <s v="Free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s v="Free"/>
    <n v="1"/>
    <n v="0"/>
    <n v="0"/>
    <n v="0"/>
    <n v="0"/>
    <n v="0"/>
    <n v="0"/>
    <m/>
    <n v="66"/>
  </r>
  <r>
    <x v="1008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s v="Free"/>
    <n v="0"/>
    <n v="0"/>
    <n v="0"/>
    <n v="0"/>
    <n v="0"/>
    <n v="0"/>
    <n v="0"/>
    <m/>
    <n v="56"/>
  </r>
  <r>
    <x v="1010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x v="1014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x v="1017"/>
    <d v="2025-04-01T00:00:00"/>
    <x v="1"/>
    <s v="South"/>
    <s v="Mobile"/>
    <m/>
    <s v="Basic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x v="1021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x v="1024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s v="Free"/>
    <n v="1"/>
    <n v="0"/>
    <n v="0"/>
    <n v="0"/>
    <n v="0"/>
    <n v="0"/>
    <n v="0"/>
    <m/>
    <n v="57"/>
  </r>
  <r>
    <x v="1026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x v="1027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s v="Free"/>
    <n v="0"/>
    <n v="0"/>
    <n v="0"/>
    <n v="0"/>
    <n v="0"/>
    <n v="0"/>
    <n v="0"/>
    <m/>
    <n v="41.5"/>
  </r>
  <r>
    <x v="1036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x v="1037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x v="1041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x v="1044"/>
    <d v="2025-02-26T00:00:00"/>
    <x v="1"/>
    <s v="East"/>
    <s v="Desktop"/>
    <m/>
    <s v="Basic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x v="1046"/>
    <d v="2025-04-13T00:00:00"/>
    <x v="1"/>
    <s v="West"/>
    <s v="Mobile"/>
    <s v="Organic"/>
    <s v="Basic"/>
    <n v="1"/>
    <n v="0"/>
    <n v="0"/>
    <n v="0"/>
    <n v="0"/>
    <n v="0"/>
    <n v="0"/>
    <m/>
    <n v="55"/>
  </r>
  <r>
    <x v="1047"/>
    <d v="2025-02-20T00:00:00"/>
    <x v="1"/>
    <s v="East"/>
    <m/>
    <s v="Paid Search"/>
    <s v="Basic"/>
    <n v="1"/>
    <n v="0"/>
    <n v="0"/>
    <n v="0"/>
    <n v="0"/>
    <n v="0"/>
    <n v="0"/>
    <m/>
    <n v="63.1"/>
  </r>
  <r>
    <x v="1048"/>
    <d v="2025-04-19T00:00:00"/>
    <x v="1"/>
    <s v="West"/>
    <s v="Desktop"/>
    <s v="Social"/>
    <s v="Free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x v="1050"/>
    <d v="2025-02-28T00:00:00"/>
    <x v="1"/>
    <s v="North"/>
    <s v="Mobile"/>
    <s v="Email"/>
    <s v="Basic"/>
    <n v="1"/>
    <n v="1"/>
    <n v="0"/>
    <n v="0"/>
    <n v="0"/>
    <n v="0"/>
    <n v="0"/>
    <m/>
    <n v="46.8"/>
  </r>
  <r>
    <x v="1051"/>
    <d v="2025-05-24T00:00:00"/>
    <x v="1"/>
    <s v="East"/>
    <s v="Mobile"/>
    <s v="Social"/>
    <s v="Free"/>
    <n v="1"/>
    <n v="1"/>
    <n v="1"/>
    <n v="0"/>
    <n v="0"/>
    <n v="0"/>
    <n v="0"/>
    <m/>
    <n v="97.4"/>
  </r>
  <r>
    <x v="1052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x v="1054"/>
    <d v="2025-04-17T00:00:00"/>
    <x v="1"/>
    <s v="East"/>
    <s v="Mobile"/>
    <s v="Organic"/>
    <s v="Free"/>
    <n v="1"/>
    <n v="0"/>
    <n v="0"/>
    <n v="0"/>
    <n v="0"/>
    <n v="0"/>
    <n v="0"/>
    <m/>
    <n v="51.9"/>
  </r>
  <r>
    <x v="1055"/>
    <d v="2025-02-06T00:00:00"/>
    <x v="1"/>
    <s v="West"/>
    <s v="Mobile"/>
    <s v="Social"/>
    <s v="Free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x v="1060"/>
    <d v="2025-04-09T00:00:00"/>
    <x v="1"/>
    <s v="West"/>
    <s v="Mobile"/>
    <s v="Social"/>
    <s v="Free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x v="1063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x v="1064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s v="Free"/>
    <n v="1"/>
    <n v="1"/>
    <n v="1"/>
    <n v="0"/>
    <n v="0"/>
    <n v="0"/>
    <n v="0"/>
    <m/>
    <n v="72"/>
  </r>
  <r>
    <x v="1071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s v="Free"/>
    <n v="1"/>
    <n v="0"/>
    <n v="0"/>
    <n v="0"/>
    <n v="0"/>
    <n v="1"/>
    <n v="0"/>
    <m/>
    <m/>
  </r>
  <r>
    <x v="1073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x v="1080"/>
    <d v="2025-03-28T00:00:00"/>
    <x v="1"/>
    <s v="East"/>
    <s v="Mobile"/>
    <s v="Organic"/>
    <s v="Free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x v="1084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x v="1085"/>
    <d v="2025-04-12T00:00:00"/>
    <x v="1"/>
    <s v="South"/>
    <s v="Mobile"/>
    <s v="Social"/>
    <s v="Free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x v="1087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x v="1088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x v="1089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s v="Basic"/>
    <n v="0"/>
    <n v="0"/>
    <n v="0"/>
    <n v="0"/>
    <n v="0"/>
    <n v="0"/>
    <n v="0"/>
    <m/>
    <n v="46.4"/>
  </r>
  <r>
    <x v="1094"/>
    <d v="2025-01-25T00:00:00"/>
    <x v="1"/>
    <s v="West"/>
    <s v="Mobile"/>
    <s v="Organic"/>
    <s v="Free"/>
    <n v="1"/>
    <n v="1"/>
    <n v="1"/>
    <n v="0"/>
    <n v="0"/>
    <n v="1"/>
    <n v="0"/>
    <m/>
    <n v="81.3"/>
  </r>
  <r>
    <x v="1095"/>
    <d v="2025-01-12T00:00:00"/>
    <x v="1"/>
    <s v="South"/>
    <s v="Tablet"/>
    <s v="Social"/>
    <s v="Free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s v="Basic"/>
    <n v="1"/>
    <n v="0"/>
    <n v="0"/>
    <n v="0"/>
    <n v="0"/>
    <n v="0"/>
    <n v="0"/>
    <m/>
    <m/>
  </r>
  <r>
    <x v="1099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x v="1101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x v="1104"/>
    <d v="2025-05-31T00:00:00"/>
    <x v="1"/>
    <s v="West"/>
    <s v="Mobile"/>
    <s v="Email"/>
    <s v="Basic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x v="1113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x v="1116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x v="1124"/>
    <d v="2025-01-11T00:00:00"/>
    <x v="1"/>
    <s v="East"/>
    <s v="Desktop"/>
    <s v="Social"/>
    <s v="Free"/>
    <n v="1"/>
    <n v="1"/>
    <n v="1"/>
    <n v="0"/>
    <n v="0"/>
    <n v="3"/>
    <n v="0"/>
    <m/>
    <n v="62.1"/>
  </r>
  <r>
    <x v="1125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x v="1128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s v="Free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s v="Basic"/>
    <n v="1"/>
    <n v="0"/>
    <n v="0"/>
    <n v="0"/>
    <n v="0"/>
    <n v="0"/>
    <n v="0"/>
    <m/>
    <n v="74.8"/>
  </r>
  <r>
    <x v="1135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x v="1137"/>
    <d v="2025-01-25T00:00:00"/>
    <x v="1"/>
    <s v="West"/>
    <s v="Mobile"/>
    <s v="Email"/>
    <s v="Free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s v="Free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x v="1141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s v="Free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x v="1144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s v="Free"/>
    <n v="1"/>
    <n v="1"/>
    <n v="1"/>
    <n v="0"/>
    <n v="0"/>
    <n v="0"/>
    <n v="0"/>
    <m/>
    <n v="72"/>
  </r>
  <r>
    <x v="1146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s v="Basic"/>
    <n v="1"/>
    <n v="0"/>
    <n v="0"/>
    <n v="0"/>
    <n v="0"/>
    <n v="1"/>
    <n v="0"/>
    <m/>
    <n v="69"/>
  </r>
  <r>
    <x v="1152"/>
    <d v="2025-03-01T00:00:00"/>
    <x v="1"/>
    <s v="West"/>
    <s v="Mobile"/>
    <s v="Social"/>
    <s v="Free"/>
    <n v="0"/>
    <n v="0"/>
    <n v="0"/>
    <n v="0"/>
    <n v="0"/>
    <n v="0"/>
    <n v="0"/>
    <m/>
    <n v="37.4"/>
  </r>
  <r>
    <x v="1153"/>
    <d v="2025-04-15T00:00:00"/>
    <x v="1"/>
    <s v="West"/>
    <s v="Mobile"/>
    <s v="Organic"/>
    <s v="Basic"/>
    <n v="0"/>
    <n v="0"/>
    <n v="0"/>
    <n v="0"/>
    <n v="0"/>
    <n v="0"/>
    <n v="0"/>
    <m/>
    <n v="59"/>
  </r>
  <r>
    <x v="1154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x v="1155"/>
    <d v="2025-05-19T00:00:00"/>
    <x v="1"/>
    <s v="South"/>
    <s v="Mobile"/>
    <s v="Email"/>
    <s v="Free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x v="1158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s v="Free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s v="Free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x v="1173"/>
    <d v="2025-03-18T00:00:00"/>
    <x v="1"/>
    <s v="South"/>
    <s v="Mobile"/>
    <s v="Email"/>
    <s v="Free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x v="1176"/>
    <d v="2025-02-04T00:00:00"/>
    <x v="1"/>
    <s v="East"/>
    <m/>
    <s v="Paid Search"/>
    <s v="Basic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x v="1181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x v="1183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x v="1186"/>
    <d v="2025-01-15T00:00:00"/>
    <x v="1"/>
    <s v="West"/>
    <s v="Desktop"/>
    <s v="Email"/>
    <s v="Free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x v="1188"/>
    <d v="2025-04-16T00:00:00"/>
    <x v="1"/>
    <s v="East"/>
    <m/>
    <s v="Referral"/>
    <s v="Free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x v="1192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x v="1193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x v="1198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x v="1201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x v="1203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x v="1204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x v="1205"/>
    <d v="2025-01-25T00:00:00"/>
    <x v="1"/>
    <s v="East"/>
    <s v="Mobile"/>
    <s v="Social"/>
    <s v="Free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x v="1207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x v="1208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10"/>
    <d v="2025-05-29T00:00:00"/>
    <x v="1"/>
    <s v="South"/>
    <s v="Mobile"/>
    <s v="Organic"/>
    <s v="Free"/>
    <n v="1"/>
    <n v="1"/>
    <n v="0"/>
    <n v="0"/>
    <n v="0"/>
    <n v="0"/>
    <n v="0"/>
    <m/>
    <n v="56"/>
  </r>
  <r>
    <x v="1211"/>
    <d v="2025-05-30T00:00:00"/>
    <x v="1"/>
    <s v="North"/>
    <s v="Mobile"/>
    <s v="Email"/>
    <s v="Basic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x v="1220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s v="Free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x v="1224"/>
    <d v="2025-01-31T00:00:00"/>
    <x v="1"/>
    <s v="West"/>
    <s v="Mobile"/>
    <s v="Social"/>
    <s v="Free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x v="1227"/>
    <d v="2025-03-23T00:00:00"/>
    <x v="1"/>
    <s v="East"/>
    <m/>
    <s v="Paid Search"/>
    <s v="Free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x v="1229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x v="1233"/>
    <d v="2025-03-01T00:00:00"/>
    <x v="1"/>
    <s v="East"/>
    <s v="Desktop"/>
    <s v="Social"/>
    <s v="Free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x v="1235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x v="1238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x v="1239"/>
    <d v="2025-02-23T00:00:00"/>
    <x v="1"/>
    <s v="East"/>
    <s v="Mobile"/>
    <m/>
    <s v="Free"/>
    <n v="0"/>
    <n v="0"/>
    <n v="0"/>
    <n v="0"/>
    <n v="0"/>
    <n v="0"/>
    <n v="0"/>
    <m/>
    <n v="88"/>
  </r>
  <r>
    <x v="1240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s v="Basic"/>
    <n v="0"/>
    <n v="0"/>
    <n v="0"/>
    <n v="0"/>
    <n v="0"/>
    <n v="1"/>
    <n v="0"/>
    <m/>
    <n v="48.2"/>
  </r>
  <r>
    <x v="1242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x v="1243"/>
    <d v="2025-04-22T00:00:00"/>
    <x v="1"/>
    <s v="North"/>
    <s v="Mobile"/>
    <s v="Email"/>
    <s v="Basic"/>
    <n v="1"/>
    <n v="1"/>
    <n v="0"/>
    <n v="0"/>
    <n v="0"/>
    <n v="0"/>
    <n v="0"/>
    <m/>
    <n v="59.9"/>
  </r>
  <r>
    <x v="1244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x v="1248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x v="1249"/>
    <d v="2025-01-10T00:00:00"/>
    <x v="1"/>
    <s v="West"/>
    <s v="Desktop"/>
    <s v="Social"/>
    <s v="Free"/>
    <n v="1"/>
    <n v="0"/>
    <n v="0"/>
    <n v="0"/>
    <n v="0"/>
    <n v="0"/>
    <n v="0"/>
    <m/>
    <n v="54.6"/>
  </r>
  <r>
    <x v="1250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x v="1253"/>
    <d v="2025-05-02T00:00:00"/>
    <x v="1"/>
    <s v="West"/>
    <s v="Mobile"/>
    <s v="Social"/>
    <s v="Basic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x v="1255"/>
    <d v="2025-01-27T00:00:00"/>
    <x v="1"/>
    <s v="East"/>
    <s v="Desktop"/>
    <m/>
    <s v="Free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x v="1259"/>
    <d v="2025-03-21T00:00:00"/>
    <x v="1"/>
    <s v="North"/>
    <s v="Mobile"/>
    <s v="Organic"/>
    <s v="Free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x v="1262"/>
    <d v="2025-02-18T00:00:00"/>
    <x v="1"/>
    <s v="North"/>
    <s v="Mobile"/>
    <s v="Social"/>
    <s v="Free"/>
    <n v="1"/>
    <n v="0"/>
    <n v="0"/>
    <n v="0"/>
    <n v="0"/>
    <n v="0"/>
    <n v="0"/>
    <m/>
    <n v="49.6"/>
  </r>
  <r>
    <x v="1263"/>
    <d v="2025-01-09T00:00:00"/>
    <x v="1"/>
    <s v="East"/>
    <s v="Mobile"/>
    <s v="Organic"/>
    <s v="Free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s v="Free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x v="1269"/>
    <d v="2025-03-16T00:00:00"/>
    <x v="1"/>
    <s v="East"/>
    <s v="Desktop"/>
    <s v="Social"/>
    <s v="Free"/>
    <n v="1"/>
    <n v="1"/>
    <n v="0"/>
    <n v="0"/>
    <n v="0"/>
    <n v="0"/>
    <n v="0"/>
    <m/>
    <n v="66.2"/>
  </r>
  <r>
    <x v="1270"/>
    <d v="2025-02-03T00:00:00"/>
    <x v="1"/>
    <s v="West"/>
    <m/>
    <s v="Referral"/>
    <s v="Basic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x v="1272"/>
    <d v="2025-05-09T00:00:00"/>
    <x v="1"/>
    <s v="West"/>
    <s v="Mobile"/>
    <s v="Social"/>
    <s v="Free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x v="1278"/>
    <d v="2025-02-10T00:00:00"/>
    <x v="1"/>
    <s v="East"/>
    <s v="Desktop"/>
    <s v="Social"/>
    <s v="Free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x v="1281"/>
    <d v="2025-02-02T00:00:00"/>
    <x v="1"/>
    <s v="West"/>
    <s v="Desktop"/>
    <s v="Social"/>
    <s v="Free"/>
    <n v="1"/>
    <n v="1"/>
    <n v="0"/>
    <n v="0"/>
    <n v="0"/>
    <n v="0"/>
    <n v="0"/>
    <m/>
    <n v="62.6"/>
  </r>
  <r>
    <x v="1282"/>
    <d v="2025-02-02T00:00:00"/>
    <x v="1"/>
    <s v="West"/>
    <s v="Mobile"/>
    <s v="Organic"/>
    <s v="Free"/>
    <n v="0"/>
    <n v="0"/>
    <n v="0"/>
    <n v="0"/>
    <n v="0"/>
    <n v="1"/>
    <n v="0"/>
    <m/>
    <n v="54.1"/>
  </r>
  <r>
    <x v="1283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s v="Free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x v="1289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x v="1292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s v="Free"/>
    <n v="0"/>
    <n v="0"/>
    <n v="0"/>
    <n v="0"/>
    <n v="0"/>
    <n v="3"/>
    <n v="0"/>
    <m/>
    <m/>
  </r>
  <r>
    <x v="1299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x v="1300"/>
    <d v="2025-05-04T00:00:00"/>
    <x v="1"/>
    <s v="West"/>
    <s v="Mobile"/>
    <s v="Social"/>
    <s v="Free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s v="Free"/>
    <n v="1"/>
    <n v="0"/>
    <n v="0"/>
    <n v="0"/>
    <n v="0"/>
    <n v="2"/>
    <n v="0"/>
    <m/>
    <n v="70"/>
  </r>
  <r>
    <x v="1302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x v="1304"/>
    <d v="2025-04-11T00:00:00"/>
    <x v="1"/>
    <s v="East"/>
    <s v="Mobile"/>
    <s v="Social"/>
    <s v="Free"/>
    <n v="0"/>
    <n v="0"/>
    <n v="0"/>
    <n v="0"/>
    <n v="0"/>
    <n v="1"/>
    <n v="0"/>
    <m/>
    <n v="47.1"/>
  </r>
  <r>
    <x v="1305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x v="1306"/>
    <d v="2025-02-12T00:00:00"/>
    <x v="1"/>
    <s v="West"/>
    <s v="Desktop"/>
    <s v="Social"/>
    <s v="Free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x v="1308"/>
    <d v="2025-05-25T00:00:00"/>
    <x v="1"/>
    <s v="East"/>
    <s v="Desktop"/>
    <s v="Social"/>
    <s v="Free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s v="Basic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x v="1314"/>
    <d v="2025-01-08T00:00:00"/>
    <x v="1"/>
    <s v="East"/>
    <s v="Tablet"/>
    <m/>
    <s v="Premium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s v="Premium"/>
    <n v="0"/>
    <n v="0"/>
    <n v="0"/>
    <n v="0"/>
    <n v="0"/>
    <n v="0"/>
    <n v="0"/>
    <m/>
    <m/>
  </r>
  <r>
    <x v="1316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x v="1321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s v="Premium"/>
    <n v="0"/>
    <n v="0"/>
    <n v="0"/>
    <n v="0"/>
    <n v="0"/>
    <n v="0"/>
    <n v="0"/>
    <m/>
    <n v="90"/>
  </r>
  <r>
    <x v="1323"/>
    <d v="2025-02-26T00:00:00"/>
    <x v="1"/>
    <s v="South"/>
    <s v="Mobile"/>
    <s v="Email"/>
    <s v="Basic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s v="Free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x v="1332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x v="1334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s v="Free"/>
    <n v="1"/>
    <n v="0"/>
    <n v="0"/>
    <n v="0"/>
    <n v="0"/>
    <n v="0"/>
    <n v="0"/>
    <m/>
    <n v="67"/>
  </r>
  <r>
    <x v="1339"/>
    <d v="2025-03-10T00:00:00"/>
    <x v="1"/>
    <s v="South"/>
    <s v="Mobile"/>
    <s v="Email"/>
    <s v="Free"/>
    <n v="0"/>
    <n v="0"/>
    <n v="0"/>
    <n v="0"/>
    <n v="0"/>
    <n v="0"/>
    <n v="0"/>
    <m/>
    <n v="63.6"/>
  </r>
  <r>
    <x v="1340"/>
    <d v="2025-02-21T00:00:00"/>
    <x v="1"/>
    <s v="South"/>
    <s v="Mobile"/>
    <s v="Email"/>
    <s v="Free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s v="Basic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x v="1345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x v="1346"/>
    <d v="2025-01-03T00:00:00"/>
    <x v="1"/>
    <s v="South"/>
    <s v="Mobile"/>
    <s v="Social"/>
    <s v="Free"/>
    <n v="1"/>
    <n v="1"/>
    <n v="1"/>
    <n v="0"/>
    <n v="0"/>
    <n v="1"/>
    <n v="0"/>
    <m/>
    <n v="66"/>
  </r>
  <r>
    <x v="1347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x v="1348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s v="Free"/>
    <n v="0"/>
    <n v="0"/>
    <n v="0"/>
    <n v="0"/>
    <n v="0"/>
    <n v="1"/>
    <n v="0"/>
    <m/>
    <n v="90.5"/>
  </r>
  <r>
    <x v="1351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s v="Free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x v="1355"/>
    <d v="2025-03-01T00:00:00"/>
    <x v="1"/>
    <s v="North"/>
    <s v="Desktop"/>
    <m/>
    <s v="Free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s v="Free"/>
    <n v="1"/>
    <n v="0"/>
    <n v="0"/>
    <n v="0"/>
    <n v="0"/>
    <n v="1"/>
    <n v="0"/>
    <m/>
    <n v="55"/>
  </r>
  <r>
    <x v="1357"/>
    <d v="2025-05-09T00:00:00"/>
    <x v="1"/>
    <s v="West"/>
    <s v="Mobile"/>
    <s v="Social"/>
    <s v="Free"/>
    <n v="1"/>
    <n v="0"/>
    <n v="0"/>
    <n v="0"/>
    <n v="0"/>
    <n v="0"/>
    <n v="0"/>
    <m/>
    <n v="63.6"/>
  </r>
  <r>
    <x v="1358"/>
    <d v="2025-04-30T00:00:00"/>
    <x v="1"/>
    <s v="West"/>
    <s v="Mobile"/>
    <s v="Organic"/>
    <s v="Free"/>
    <n v="1"/>
    <n v="0"/>
    <n v="0"/>
    <n v="0"/>
    <n v="0"/>
    <n v="0"/>
    <n v="0"/>
    <m/>
    <n v="55.5"/>
  </r>
  <r>
    <x v="1359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x v="1360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x v="1365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x v="1369"/>
    <d v="2025-02-02T00:00:00"/>
    <x v="1"/>
    <s v="East"/>
    <s v="Mobile"/>
    <s v="Organic"/>
    <s v="Free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x v="1373"/>
    <d v="2025-04-11T00:00:00"/>
    <x v="1"/>
    <s v="South"/>
    <s v="Mobile"/>
    <s v="Social"/>
    <s v="Free"/>
    <n v="1"/>
    <n v="0"/>
    <n v="0"/>
    <n v="0"/>
    <n v="0"/>
    <n v="0"/>
    <n v="0"/>
    <m/>
    <n v="31.2"/>
  </r>
  <r>
    <x v="1374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x v="1376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s v="Free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x v="1384"/>
    <d v="2025-01-21T00:00:00"/>
    <x v="1"/>
    <s v="West"/>
    <s v="Mobile"/>
    <s v="Organic"/>
    <s v="Free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x v="1390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s v="Free"/>
    <n v="1"/>
    <n v="0"/>
    <n v="0"/>
    <n v="0"/>
    <n v="0"/>
    <n v="0"/>
    <n v="0"/>
    <m/>
    <n v="54"/>
  </r>
  <r>
    <x v="1393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s v="Free"/>
    <n v="1"/>
    <n v="0"/>
    <n v="0"/>
    <n v="0"/>
    <n v="0"/>
    <n v="0"/>
    <n v="0"/>
    <m/>
    <n v="62.4"/>
  </r>
  <r>
    <x v="1397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x v="1399"/>
    <d v="2025-04-18T00:00:00"/>
    <x v="1"/>
    <s v="East"/>
    <s v="Desktop"/>
    <s v="Social"/>
    <s v="Free"/>
    <n v="0"/>
    <n v="0"/>
    <n v="0"/>
    <n v="0"/>
    <n v="0"/>
    <n v="0"/>
    <n v="0"/>
    <m/>
    <n v="55.7"/>
  </r>
  <r>
    <x v="916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s v="Basic"/>
    <n v="1"/>
    <n v="0"/>
    <n v="0"/>
    <n v="0"/>
    <n v="0"/>
    <n v="0"/>
    <n v="0"/>
    <m/>
    <n v="60.9"/>
  </r>
  <r>
    <x v="1361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x v="95"/>
    <d v="2025-02-05T00:00:00"/>
    <x v="0"/>
    <s v="East"/>
    <s v="Mobile"/>
    <s v="Social"/>
    <s v="Free"/>
    <n v="0"/>
    <n v="0"/>
    <n v="0"/>
    <n v="0"/>
    <n v="0"/>
    <n v="0"/>
    <n v="0"/>
    <m/>
    <n v="68"/>
  </r>
  <r>
    <x v="1209"/>
    <d v="2025-02-24T00:00:00"/>
    <x v="1"/>
    <s v="West"/>
    <s v="Mobile"/>
    <s v="Organic"/>
    <s v="Basic"/>
    <n v="1"/>
    <n v="0"/>
    <n v="0"/>
    <n v="0"/>
    <n v="0"/>
    <n v="0"/>
    <n v="0"/>
    <m/>
    <n v="62"/>
  </r>
  <r>
    <x v="1231"/>
    <d v="2025-03-30T00:00:00"/>
    <x v="1"/>
    <s v="East"/>
    <s v="Mobile"/>
    <s v="Organic"/>
    <s v="Free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x v="0"/>
    <d v="2025-03-16T00:00:00"/>
    <x v="0"/>
    <x v="0"/>
    <x v="0"/>
    <x v="0"/>
    <x v="0"/>
    <n v="0"/>
    <n v="0"/>
    <n v="0"/>
    <n v="0"/>
    <n v="0"/>
    <n v="0"/>
    <n v="0"/>
    <m/>
    <n v="45.7"/>
  </r>
  <r>
    <x v="1"/>
    <d v="2025-03-08T00:00:00"/>
    <x v="0"/>
    <x v="1"/>
    <x v="1"/>
    <x v="1"/>
    <x v="1"/>
    <n v="1"/>
    <n v="0"/>
    <n v="0"/>
    <n v="0"/>
    <n v="0"/>
    <n v="0"/>
    <n v="0"/>
    <m/>
    <n v="48.6"/>
  </r>
  <r>
    <x v="2"/>
    <d v="2025-04-24T00:00:00"/>
    <x v="0"/>
    <x v="2"/>
    <x v="1"/>
    <x v="2"/>
    <x v="2"/>
    <n v="1"/>
    <n v="0"/>
    <n v="0"/>
    <n v="0"/>
    <n v="0"/>
    <n v="1"/>
    <n v="0"/>
    <m/>
    <n v="35.4"/>
  </r>
  <r>
    <x v="3"/>
    <d v="2025-05-04T00:00:00"/>
    <x v="0"/>
    <x v="3"/>
    <x v="1"/>
    <x v="0"/>
    <x v="0"/>
    <n v="1"/>
    <n v="0"/>
    <n v="0"/>
    <n v="0"/>
    <n v="0"/>
    <n v="0"/>
    <n v="0"/>
    <m/>
    <n v="64.599999999999994"/>
  </r>
  <r>
    <x v="4"/>
    <d v="2025-02-12T00:00:00"/>
    <x v="0"/>
    <x v="0"/>
    <x v="2"/>
    <x v="1"/>
    <x v="1"/>
    <n v="0"/>
    <n v="0"/>
    <n v="0"/>
    <n v="0"/>
    <n v="0"/>
    <n v="0"/>
    <n v="0"/>
    <m/>
    <n v="66.599999999999994"/>
  </r>
  <r>
    <x v="5"/>
    <d v="2025-01-28T00:00:00"/>
    <x v="0"/>
    <x v="2"/>
    <x v="1"/>
    <x v="1"/>
    <x v="2"/>
    <n v="1"/>
    <n v="0"/>
    <n v="0"/>
    <n v="0"/>
    <n v="0"/>
    <n v="0"/>
    <n v="0"/>
    <m/>
    <n v="40.799999999999997"/>
  </r>
  <r>
    <x v="6"/>
    <d v="2025-04-08T00:00:00"/>
    <x v="0"/>
    <x v="2"/>
    <x v="1"/>
    <x v="2"/>
    <x v="0"/>
    <n v="1"/>
    <n v="1"/>
    <n v="0"/>
    <n v="0"/>
    <n v="0"/>
    <n v="0"/>
    <n v="0"/>
    <m/>
    <n v="57.1"/>
  </r>
  <r>
    <x v="7"/>
    <d v="2025-05-17T00:00:00"/>
    <x v="0"/>
    <x v="3"/>
    <x v="1"/>
    <x v="2"/>
    <x v="1"/>
    <n v="0"/>
    <n v="0"/>
    <n v="0"/>
    <n v="0"/>
    <n v="0"/>
    <n v="0"/>
    <n v="0"/>
    <m/>
    <n v="36.4"/>
  </r>
  <r>
    <x v="8"/>
    <d v="2025-02-23T00:00:00"/>
    <x v="0"/>
    <x v="3"/>
    <x v="2"/>
    <x v="3"/>
    <x v="0"/>
    <n v="0"/>
    <n v="0"/>
    <n v="0"/>
    <n v="0"/>
    <n v="0"/>
    <n v="0"/>
    <n v="0"/>
    <m/>
    <n v="55.4"/>
  </r>
  <r>
    <x v="9"/>
    <d v="2025-05-29T00:00:00"/>
    <x v="0"/>
    <x v="1"/>
    <x v="0"/>
    <x v="4"/>
    <x v="1"/>
    <n v="1"/>
    <n v="0"/>
    <n v="0"/>
    <n v="0"/>
    <n v="0"/>
    <n v="0"/>
    <n v="0"/>
    <m/>
    <n v="57.3"/>
  </r>
  <r>
    <x v="10"/>
    <d v="2025-04-30T00:00:00"/>
    <x v="0"/>
    <x v="2"/>
    <x v="1"/>
    <x v="2"/>
    <x v="0"/>
    <n v="1"/>
    <n v="1"/>
    <n v="1"/>
    <n v="0"/>
    <n v="0"/>
    <n v="0"/>
    <n v="0"/>
    <m/>
    <n v="63.6"/>
  </r>
  <r>
    <x v="11"/>
    <d v="2025-03-16T00:00:00"/>
    <x v="0"/>
    <x v="2"/>
    <x v="1"/>
    <x v="4"/>
    <x v="2"/>
    <n v="1"/>
    <n v="1"/>
    <n v="1"/>
    <n v="0"/>
    <n v="0"/>
    <n v="1"/>
    <n v="0"/>
    <m/>
    <n v="80.400000000000006"/>
  </r>
  <r>
    <x v="12"/>
    <d v="2025-02-07T00:00:00"/>
    <x v="0"/>
    <x v="3"/>
    <x v="0"/>
    <x v="0"/>
    <x v="0"/>
    <n v="1"/>
    <n v="0"/>
    <n v="0"/>
    <n v="0"/>
    <n v="0"/>
    <n v="0"/>
    <n v="0"/>
    <m/>
    <n v="62.4"/>
  </r>
  <r>
    <x v="13"/>
    <d v="2025-03-02T00:00:00"/>
    <x v="0"/>
    <x v="1"/>
    <x v="1"/>
    <x v="4"/>
    <x v="0"/>
    <n v="1"/>
    <n v="0"/>
    <n v="0"/>
    <n v="0"/>
    <n v="0"/>
    <n v="0"/>
    <n v="0"/>
    <m/>
    <n v="82.4"/>
  </r>
  <r>
    <x v="14"/>
    <d v="2025-05-30T00:00:00"/>
    <x v="0"/>
    <x v="3"/>
    <x v="1"/>
    <x v="1"/>
    <x v="0"/>
    <n v="0"/>
    <n v="0"/>
    <n v="0"/>
    <n v="0"/>
    <n v="0"/>
    <n v="0"/>
    <n v="0"/>
    <m/>
    <n v="61.2"/>
  </r>
  <r>
    <x v="15"/>
    <d v="2025-03-25T00:00:00"/>
    <x v="0"/>
    <x v="3"/>
    <x v="1"/>
    <x v="4"/>
    <x v="0"/>
    <n v="1"/>
    <n v="0"/>
    <n v="0"/>
    <n v="0"/>
    <n v="0"/>
    <n v="0"/>
    <n v="0"/>
    <m/>
    <n v="68.900000000000006"/>
  </r>
  <r>
    <x v="16"/>
    <d v="2025-03-27T00:00:00"/>
    <x v="0"/>
    <x v="2"/>
    <x v="0"/>
    <x v="2"/>
    <x v="1"/>
    <n v="1"/>
    <n v="1"/>
    <n v="1"/>
    <n v="0"/>
    <n v="0"/>
    <n v="0"/>
    <n v="0"/>
    <m/>
    <n v="71.900000000000006"/>
  </r>
  <r>
    <x v="17"/>
    <d v="2025-05-28T00:00:00"/>
    <x v="0"/>
    <x v="3"/>
    <x v="0"/>
    <x v="2"/>
    <x v="1"/>
    <n v="0"/>
    <n v="0"/>
    <n v="0"/>
    <n v="0"/>
    <n v="0"/>
    <n v="0"/>
    <n v="0"/>
    <m/>
    <n v="50.5"/>
  </r>
  <r>
    <x v="18"/>
    <d v="2025-02-15T00:00:00"/>
    <x v="0"/>
    <x v="0"/>
    <x v="0"/>
    <x v="2"/>
    <x v="0"/>
    <n v="0"/>
    <n v="0"/>
    <n v="0"/>
    <n v="0"/>
    <n v="0"/>
    <n v="0"/>
    <n v="0"/>
    <m/>
    <n v="49.3"/>
  </r>
  <r>
    <x v="19"/>
    <d v="2025-05-05T00:00:00"/>
    <x v="0"/>
    <x v="1"/>
    <x v="0"/>
    <x v="1"/>
    <x v="0"/>
    <n v="0"/>
    <n v="0"/>
    <n v="0"/>
    <n v="0"/>
    <n v="0"/>
    <n v="2"/>
    <n v="0"/>
    <m/>
    <n v="60.9"/>
  </r>
  <r>
    <x v="20"/>
    <d v="2025-04-13T00:00:00"/>
    <x v="0"/>
    <x v="2"/>
    <x v="1"/>
    <x v="4"/>
    <x v="1"/>
    <n v="1"/>
    <n v="0"/>
    <n v="0"/>
    <n v="0"/>
    <n v="0"/>
    <n v="0"/>
    <n v="0"/>
    <m/>
    <n v="62.7"/>
  </r>
  <r>
    <x v="21"/>
    <d v="2025-05-07T00:00:00"/>
    <x v="0"/>
    <x v="0"/>
    <x v="0"/>
    <x v="2"/>
    <x v="1"/>
    <n v="0"/>
    <n v="0"/>
    <n v="0"/>
    <n v="0"/>
    <n v="0"/>
    <n v="0"/>
    <n v="0"/>
    <m/>
    <n v="52.7"/>
  </r>
  <r>
    <x v="22"/>
    <d v="2025-05-25T00:00:00"/>
    <x v="0"/>
    <x v="0"/>
    <x v="0"/>
    <x v="1"/>
    <x v="1"/>
    <n v="0"/>
    <n v="0"/>
    <n v="0"/>
    <n v="0"/>
    <n v="0"/>
    <n v="0"/>
    <n v="0"/>
    <m/>
    <n v="54"/>
  </r>
  <r>
    <x v="23"/>
    <d v="2025-04-01T00:00:00"/>
    <x v="0"/>
    <x v="2"/>
    <x v="1"/>
    <x v="2"/>
    <x v="2"/>
    <n v="1"/>
    <n v="1"/>
    <n v="0"/>
    <n v="0"/>
    <n v="0"/>
    <n v="0"/>
    <n v="0"/>
    <m/>
    <n v="51.6"/>
  </r>
  <r>
    <x v="24"/>
    <d v="2025-02-22T00:00:00"/>
    <x v="0"/>
    <x v="0"/>
    <x v="1"/>
    <x v="2"/>
    <x v="2"/>
    <n v="0"/>
    <n v="0"/>
    <n v="0"/>
    <n v="0"/>
    <n v="0"/>
    <n v="2"/>
    <n v="0"/>
    <m/>
    <n v="66.900000000000006"/>
  </r>
  <r>
    <x v="25"/>
    <d v="2025-03-24T00:00:00"/>
    <x v="0"/>
    <x v="2"/>
    <x v="1"/>
    <x v="1"/>
    <x v="0"/>
    <n v="0"/>
    <n v="0"/>
    <n v="0"/>
    <n v="0"/>
    <n v="0"/>
    <n v="0"/>
    <n v="0"/>
    <m/>
    <n v="67.400000000000006"/>
  </r>
  <r>
    <x v="26"/>
    <d v="2025-02-13T00:00:00"/>
    <x v="0"/>
    <x v="0"/>
    <x v="1"/>
    <x v="1"/>
    <x v="1"/>
    <n v="0"/>
    <n v="0"/>
    <n v="0"/>
    <n v="0"/>
    <n v="0"/>
    <n v="0"/>
    <n v="0"/>
    <m/>
    <n v="58.8"/>
  </r>
  <r>
    <x v="27"/>
    <d v="2025-05-30T00:00:00"/>
    <x v="0"/>
    <x v="3"/>
    <x v="1"/>
    <x v="1"/>
    <x v="1"/>
    <n v="1"/>
    <n v="0"/>
    <n v="0"/>
    <n v="0"/>
    <n v="0"/>
    <n v="0"/>
    <n v="0"/>
    <m/>
    <n v="73.8"/>
  </r>
  <r>
    <x v="28"/>
    <d v="2025-01-20T00:00:00"/>
    <x v="0"/>
    <x v="2"/>
    <x v="2"/>
    <x v="1"/>
    <x v="0"/>
    <n v="0"/>
    <n v="0"/>
    <n v="0"/>
    <n v="0"/>
    <n v="0"/>
    <n v="0"/>
    <n v="0"/>
    <m/>
    <n v="60.1"/>
  </r>
  <r>
    <x v="29"/>
    <d v="2025-05-19T00:00:00"/>
    <x v="0"/>
    <x v="2"/>
    <x v="1"/>
    <x v="4"/>
    <x v="0"/>
    <n v="1"/>
    <n v="1"/>
    <n v="1"/>
    <n v="0"/>
    <n v="0"/>
    <n v="0"/>
    <n v="0"/>
    <m/>
    <n v="41"/>
  </r>
  <r>
    <x v="30"/>
    <d v="2025-02-18T00:00:00"/>
    <x v="0"/>
    <x v="3"/>
    <x v="1"/>
    <x v="1"/>
    <x v="0"/>
    <n v="1"/>
    <n v="0"/>
    <n v="0"/>
    <n v="0"/>
    <n v="0"/>
    <n v="0"/>
    <n v="0"/>
    <m/>
    <n v="80.3"/>
  </r>
  <r>
    <x v="31"/>
    <d v="2025-02-13T00:00:00"/>
    <x v="0"/>
    <x v="2"/>
    <x v="1"/>
    <x v="1"/>
    <x v="1"/>
    <n v="0"/>
    <n v="0"/>
    <n v="0"/>
    <n v="0"/>
    <n v="0"/>
    <n v="0"/>
    <n v="0"/>
    <m/>
    <n v="67.599999999999994"/>
  </r>
  <r>
    <x v="32"/>
    <d v="2025-03-08T00:00:00"/>
    <x v="0"/>
    <x v="2"/>
    <x v="0"/>
    <x v="3"/>
    <x v="2"/>
    <n v="0"/>
    <n v="0"/>
    <n v="0"/>
    <n v="0"/>
    <n v="0"/>
    <n v="0"/>
    <n v="0"/>
    <m/>
    <n v="64"/>
  </r>
  <r>
    <x v="33"/>
    <d v="2025-01-11T00:00:00"/>
    <x v="0"/>
    <x v="0"/>
    <x v="1"/>
    <x v="2"/>
    <x v="1"/>
    <n v="1"/>
    <n v="1"/>
    <n v="0"/>
    <n v="0"/>
    <n v="0"/>
    <n v="0"/>
    <n v="0"/>
    <m/>
    <n v="27.2"/>
  </r>
  <r>
    <x v="34"/>
    <d v="2025-02-12T00:00:00"/>
    <x v="0"/>
    <x v="0"/>
    <x v="0"/>
    <x v="1"/>
    <x v="1"/>
    <n v="1"/>
    <n v="0"/>
    <n v="0"/>
    <n v="0"/>
    <n v="0"/>
    <n v="0"/>
    <n v="0"/>
    <m/>
    <n v="85.4"/>
  </r>
  <r>
    <x v="35"/>
    <d v="2025-04-13T00:00:00"/>
    <x v="0"/>
    <x v="2"/>
    <x v="0"/>
    <x v="1"/>
    <x v="0"/>
    <n v="1"/>
    <n v="0"/>
    <n v="0"/>
    <n v="0"/>
    <n v="0"/>
    <n v="0"/>
    <n v="0"/>
    <m/>
    <n v="75.900000000000006"/>
  </r>
  <r>
    <x v="36"/>
    <d v="2025-05-09T00:00:00"/>
    <x v="0"/>
    <x v="2"/>
    <x v="1"/>
    <x v="1"/>
    <x v="2"/>
    <n v="1"/>
    <n v="0"/>
    <n v="0"/>
    <n v="0"/>
    <n v="0"/>
    <n v="1"/>
    <n v="0"/>
    <m/>
    <n v="34.799999999999997"/>
  </r>
  <r>
    <x v="37"/>
    <d v="2025-01-20T00:00:00"/>
    <x v="0"/>
    <x v="2"/>
    <x v="1"/>
    <x v="1"/>
    <x v="1"/>
    <n v="1"/>
    <n v="1"/>
    <n v="1"/>
    <n v="0"/>
    <n v="0"/>
    <n v="3"/>
    <n v="0"/>
    <m/>
    <n v="48.9"/>
  </r>
  <r>
    <x v="38"/>
    <d v="2025-05-13T00:00:00"/>
    <x v="0"/>
    <x v="2"/>
    <x v="1"/>
    <x v="0"/>
    <x v="2"/>
    <n v="1"/>
    <n v="0"/>
    <n v="0"/>
    <n v="0"/>
    <n v="0"/>
    <n v="0"/>
    <n v="0"/>
    <m/>
    <n v="41.5"/>
  </r>
  <r>
    <x v="39"/>
    <d v="2025-04-07T00:00:00"/>
    <x v="0"/>
    <x v="0"/>
    <x v="0"/>
    <x v="1"/>
    <x v="0"/>
    <n v="1"/>
    <n v="0"/>
    <n v="0"/>
    <n v="0"/>
    <n v="0"/>
    <n v="0"/>
    <n v="0"/>
    <m/>
    <n v="51.5"/>
  </r>
  <r>
    <x v="40"/>
    <d v="2025-03-31T00:00:00"/>
    <x v="0"/>
    <x v="0"/>
    <x v="0"/>
    <x v="1"/>
    <x v="1"/>
    <n v="0"/>
    <n v="0"/>
    <n v="0"/>
    <n v="0"/>
    <n v="0"/>
    <n v="0"/>
    <n v="0"/>
    <m/>
    <n v="53.2"/>
  </r>
  <r>
    <x v="41"/>
    <d v="2025-01-25T00:00:00"/>
    <x v="0"/>
    <x v="2"/>
    <x v="1"/>
    <x v="0"/>
    <x v="2"/>
    <n v="0"/>
    <n v="0"/>
    <n v="0"/>
    <n v="0"/>
    <n v="0"/>
    <n v="0"/>
    <n v="0"/>
    <m/>
    <n v="55.6"/>
  </r>
  <r>
    <x v="42"/>
    <d v="2025-02-14T00:00:00"/>
    <x v="0"/>
    <x v="3"/>
    <x v="0"/>
    <x v="1"/>
    <x v="1"/>
    <n v="0"/>
    <n v="0"/>
    <n v="0"/>
    <n v="0"/>
    <n v="0"/>
    <n v="0"/>
    <n v="0"/>
    <m/>
    <n v="73"/>
  </r>
  <r>
    <x v="43"/>
    <d v="2025-02-27T00:00:00"/>
    <x v="0"/>
    <x v="2"/>
    <x v="1"/>
    <x v="0"/>
    <x v="1"/>
    <n v="1"/>
    <n v="0"/>
    <n v="0"/>
    <n v="0"/>
    <n v="0"/>
    <n v="0"/>
    <n v="0"/>
    <m/>
    <n v="65"/>
  </r>
  <r>
    <x v="44"/>
    <d v="2025-03-28T00:00:00"/>
    <x v="0"/>
    <x v="2"/>
    <x v="1"/>
    <x v="4"/>
    <x v="1"/>
    <n v="1"/>
    <n v="0"/>
    <n v="0"/>
    <n v="0"/>
    <n v="0"/>
    <n v="4"/>
    <n v="0"/>
    <m/>
    <n v="56.3"/>
  </r>
  <r>
    <x v="45"/>
    <d v="2025-05-25T00:00:00"/>
    <x v="0"/>
    <x v="2"/>
    <x v="1"/>
    <x v="3"/>
    <x v="2"/>
    <n v="1"/>
    <n v="0"/>
    <n v="0"/>
    <n v="0"/>
    <n v="0"/>
    <n v="0"/>
    <n v="0"/>
    <m/>
    <n v="62.4"/>
  </r>
  <r>
    <x v="46"/>
    <d v="2025-05-05T00:00:00"/>
    <x v="0"/>
    <x v="1"/>
    <x v="0"/>
    <x v="1"/>
    <x v="1"/>
    <n v="1"/>
    <n v="1"/>
    <n v="1"/>
    <n v="0"/>
    <n v="0"/>
    <n v="0"/>
    <n v="0"/>
    <m/>
    <n v="58.1"/>
  </r>
  <r>
    <x v="47"/>
    <d v="2025-05-16T00:00:00"/>
    <x v="0"/>
    <x v="0"/>
    <x v="1"/>
    <x v="1"/>
    <x v="1"/>
    <n v="1"/>
    <n v="1"/>
    <n v="1"/>
    <n v="0"/>
    <n v="0"/>
    <n v="0"/>
    <n v="0"/>
    <m/>
    <n v="80.8"/>
  </r>
  <r>
    <x v="48"/>
    <d v="2025-01-08T00:00:00"/>
    <x v="0"/>
    <x v="0"/>
    <x v="1"/>
    <x v="4"/>
    <x v="1"/>
    <n v="1"/>
    <n v="1"/>
    <n v="0"/>
    <n v="0"/>
    <n v="0"/>
    <n v="0"/>
    <n v="0"/>
    <m/>
    <n v="42.9"/>
  </r>
  <r>
    <x v="49"/>
    <d v="2025-01-06T00:00:00"/>
    <x v="0"/>
    <x v="1"/>
    <x v="0"/>
    <x v="2"/>
    <x v="1"/>
    <n v="1"/>
    <n v="0"/>
    <n v="0"/>
    <n v="0"/>
    <n v="0"/>
    <n v="0"/>
    <n v="0"/>
    <m/>
    <n v="52.7"/>
  </r>
  <r>
    <x v="50"/>
    <d v="2025-01-12T00:00:00"/>
    <x v="0"/>
    <x v="0"/>
    <x v="1"/>
    <x v="4"/>
    <x v="0"/>
    <n v="0"/>
    <n v="0"/>
    <n v="0"/>
    <n v="0"/>
    <n v="0"/>
    <n v="0"/>
    <n v="0"/>
    <m/>
    <n v="46.9"/>
  </r>
  <r>
    <x v="51"/>
    <d v="2025-02-14T00:00:00"/>
    <x v="0"/>
    <x v="2"/>
    <x v="0"/>
    <x v="0"/>
    <x v="2"/>
    <n v="1"/>
    <n v="0"/>
    <n v="0"/>
    <n v="0"/>
    <n v="0"/>
    <n v="0"/>
    <n v="0"/>
    <m/>
    <n v="63"/>
  </r>
  <r>
    <x v="52"/>
    <d v="2025-03-10T00:00:00"/>
    <x v="0"/>
    <x v="3"/>
    <x v="2"/>
    <x v="1"/>
    <x v="1"/>
    <n v="0"/>
    <n v="0"/>
    <n v="0"/>
    <n v="0"/>
    <n v="0"/>
    <n v="0"/>
    <n v="0"/>
    <m/>
    <n v="53.6"/>
  </r>
  <r>
    <x v="53"/>
    <d v="2025-04-20T00:00:00"/>
    <x v="0"/>
    <x v="1"/>
    <x v="0"/>
    <x v="1"/>
    <x v="0"/>
    <n v="0"/>
    <n v="0"/>
    <n v="0"/>
    <n v="0"/>
    <n v="0"/>
    <n v="0"/>
    <n v="0"/>
    <m/>
    <n v="49.6"/>
  </r>
  <r>
    <x v="54"/>
    <d v="2025-02-19T00:00:00"/>
    <x v="0"/>
    <x v="3"/>
    <x v="1"/>
    <x v="1"/>
    <x v="1"/>
    <n v="0"/>
    <n v="0"/>
    <n v="0"/>
    <n v="0"/>
    <n v="0"/>
    <n v="0"/>
    <n v="0"/>
    <m/>
    <n v="54"/>
  </r>
  <r>
    <x v="55"/>
    <d v="2025-05-17T00:00:00"/>
    <x v="0"/>
    <x v="3"/>
    <x v="1"/>
    <x v="4"/>
    <x v="0"/>
    <n v="1"/>
    <n v="0"/>
    <n v="0"/>
    <n v="0"/>
    <n v="0"/>
    <n v="2"/>
    <n v="0"/>
    <m/>
    <n v="50"/>
  </r>
  <r>
    <x v="56"/>
    <d v="2025-04-01T00:00:00"/>
    <x v="0"/>
    <x v="2"/>
    <x v="1"/>
    <x v="4"/>
    <x v="0"/>
    <n v="0"/>
    <n v="0"/>
    <n v="0"/>
    <n v="0"/>
    <n v="0"/>
    <n v="0"/>
    <n v="0"/>
    <m/>
    <n v="48.1"/>
  </r>
  <r>
    <x v="57"/>
    <d v="2025-02-04T00:00:00"/>
    <x v="0"/>
    <x v="0"/>
    <x v="0"/>
    <x v="1"/>
    <x v="1"/>
    <n v="1"/>
    <n v="0"/>
    <n v="0"/>
    <n v="0"/>
    <n v="0"/>
    <n v="0"/>
    <n v="0"/>
    <m/>
    <n v="49.6"/>
  </r>
  <r>
    <x v="58"/>
    <d v="2025-04-14T00:00:00"/>
    <x v="0"/>
    <x v="0"/>
    <x v="1"/>
    <x v="4"/>
    <x v="1"/>
    <n v="0"/>
    <n v="0"/>
    <n v="0"/>
    <n v="0"/>
    <n v="0"/>
    <n v="2"/>
    <n v="0"/>
    <m/>
    <n v="48.9"/>
  </r>
  <r>
    <x v="59"/>
    <d v="2025-01-01T00:00:00"/>
    <x v="0"/>
    <x v="1"/>
    <x v="1"/>
    <x v="4"/>
    <x v="1"/>
    <n v="1"/>
    <n v="1"/>
    <n v="1"/>
    <n v="1"/>
    <n v="240.42"/>
    <n v="0"/>
    <n v="0"/>
    <n v="16"/>
    <n v="56.5"/>
  </r>
  <r>
    <x v="60"/>
    <d v="2025-04-02T00:00:00"/>
    <x v="0"/>
    <x v="3"/>
    <x v="1"/>
    <x v="3"/>
    <x v="1"/>
    <n v="1"/>
    <n v="0"/>
    <n v="0"/>
    <n v="0"/>
    <n v="0"/>
    <n v="0"/>
    <n v="0"/>
    <m/>
    <n v="53.7"/>
  </r>
  <r>
    <x v="61"/>
    <d v="2025-03-29T00:00:00"/>
    <x v="0"/>
    <x v="0"/>
    <x v="1"/>
    <x v="4"/>
    <x v="2"/>
    <n v="0"/>
    <n v="0"/>
    <n v="0"/>
    <n v="0"/>
    <n v="0"/>
    <n v="0"/>
    <n v="0"/>
    <m/>
    <n v="62.2"/>
  </r>
  <r>
    <x v="62"/>
    <d v="2025-05-15T00:00:00"/>
    <x v="0"/>
    <x v="3"/>
    <x v="0"/>
    <x v="1"/>
    <x v="1"/>
    <n v="1"/>
    <n v="0"/>
    <n v="0"/>
    <n v="0"/>
    <n v="0"/>
    <n v="0"/>
    <n v="0"/>
    <m/>
    <n v="50.2"/>
  </r>
  <r>
    <x v="63"/>
    <d v="2025-04-11T00:00:00"/>
    <x v="0"/>
    <x v="0"/>
    <x v="1"/>
    <x v="1"/>
    <x v="0"/>
    <n v="1"/>
    <n v="0"/>
    <n v="0"/>
    <n v="0"/>
    <n v="0"/>
    <n v="0"/>
    <n v="0"/>
    <m/>
    <n v="74.3"/>
  </r>
  <r>
    <x v="64"/>
    <d v="2025-03-07T00:00:00"/>
    <x v="0"/>
    <x v="3"/>
    <x v="0"/>
    <x v="2"/>
    <x v="1"/>
    <n v="1"/>
    <n v="0"/>
    <n v="0"/>
    <n v="0"/>
    <n v="0"/>
    <n v="0"/>
    <n v="0"/>
    <m/>
    <n v="58"/>
  </r>
  <r>
    <x v="65"/>
    <d v="2025-05-30T00:00:00"/>
    <x v="0"/>
    <x v="3"/>
    <x v="1"/>
    <x v="1"/>
    <x v="1"/>
    <n v="0"/>
    <n v="0"/>
    <n v="0"/>
    <n v="0"/>
    <n v="0"/>
    <n v="0"/>
    <n v="0"/>
    <m/>
    <n v="46.7"/>
  </r>
  <r>
    <x v="66"/>
    <d v="2025-01-07T00:00:00"/>
    <x v="0"/>
    <x v="3"/>
    <x v="0"/>
    <x v="1"/>
    <x v="2"/>
    <n v="1"/>
    <n v="0"/>
    <n v="0"/>
    <n v="0"/>
    <n v="0"/>
    <n v="1"/>
    <n v="0"/>
    <m/>
    <n v="49.6"/>
  </r>
  <r>
    <x v="67"/>
    <d v="2025-05-08T00:00:00"/>
    <x v="0"/>
    <x v="1"/>
    <x v="1"/>
    <x v="4"/>
    <x v="1"/>
    <n v="0"/>
    <n v="0"/>
    <n v="0"/>
    <n v="0"/>
    <n v="0"/>
    <n v="0"/>
    <n v="0"/>
    <m/>
    <n v="60.4"/>
  </r>
  <r>
    <x v="68"/>
    <d v="2025-03-19T00:00:00"/>
    <x v="0"/>
    <x v="2"/>
    <x v="0"/>
    <x v="0"/>
    <x v="1"/>
    <n v="1"/>
    <n v="1"/>
    <n v="1"/>
    <n v="0"/>
    <n v="0"/>
    <n v="0"/>
    <n v="0"/>
    <m/>
    <n v="55.3"/>
  </r>
  <r>
    <x v="69"/>
    <d v="2025-05-16T00:00:00"/>
    <x v="0"/>
    <x v="0"/>
    <x v="0"/>
    <x v="1"/>
    <x v="1"/>
    <n v="0"/>
    <n v="0"/>
    <n v="0"/>
    <n v="0"/>
    <n v="0"/>
    <n v="0"/>
    <n v="0"/>
    <m/>
    <n v="56.2"/>
  </r>
  <r>
    <x v="70"/>
    <d v="2025-03-08T00:00:00"/>
    <x v="0"/>
    <x v="1"/>
    <x v="1"/>
    <x v="0"/>
    <x v="1"/>
    <n v="0"/>
    <n v="0"/>
    <n v="0"/>
    <n v="0"/>
    <n v="0"/>
    <n v="0"/>
    <n v="0"/>
    <m/>
    <n v="29.4"/>
  </r>
  <r>
    <x v="71"/>
    <d v="2025-03-08T00:00:00"/>
    <x v="0"/>
    <x v="2"/>
    <x v="1"/>
    <x v="0"/>
    <x v="1"/>
    <n v="1"/>
    <n v="0"/>
    <n v="0"/>
    <n v="0"/>
    <n v="0"/>
    <n v="0"/>
    <n v="0"/>
    <m/>
    <n v="54.2"/>
  </r>
  <r>
    <x v="72"/>
    <d v="2025-01-14T00:00:00"/>
    <x v="0"/>
    <x v="2"/>
    <x v="0"/>
    <x v="2"/>
    <x v="0"/>
    <n v="0"/>
    <n v="0"/>
    <n v="0"/>
    <n v="0"/>
    <n v="0"/>
    <n v="0"/>
    <n v="0"/>
    <m/>
    <n v="46.4"/>
  </r>
  <r>
    <x v="73"/>
    <d v="2025-02-10T00:00:00"/>
    <x v="0"/>
    <x v="3"/>
    <x v="1"/>
    <x v="2"/>
    <x v="0"/>
    <n v="0"/>
    <n v="0"/>
    <n v="0"/>
    <n v="0"/>
    <n v="0"/>
    <n v="0"/>
    <n v="0"/>
    <m/>
    <n v="54.5"/>
  </r>
  <r>
    <x v="74"/>
    <d v="2025-03-17T00:00:00"/>
    <x v="0"/>
    <x v="0"/>
    <x v="1"/>
    <x v="1"/>
    <x v="1"/>
    <n v="0"/>
    <n v="0"/>
    <n v="0"/>
    <n v="0"/>
    <n v="0"/>
    <n v="0"/>
    <n v="0"/>
    <m/>
    <n v="58.5"/>
  </r>
  <r>
    <x v="75"/>
    <d v="2025-01-09T00:00:00"/>
    <x v="0"/>
    <x v="3"/>
    <x v="1"/>
    <x v="0"/>
    <x v="1"/>
    <n v="0"/>
    <n v="0"/>
    <n v="0"/>
    <n v="0"/>
    <n v="0"/>
    <n v="0"/>
    <n v="0"/>
    <m/>
    <n v="75.900000000000006"/>
  </r>
  <r>
    <x v="76"/>
    <d v="2025-04-17T00:00:00"/>
    <x v="0"/>
    <x v="0"/>
    <x v="1"/>
    <x v="3"/>
    <x v="1"/>
    <n v="0"/>
    <n v="0"/>
    <n v="0"/>
    <n v="0"/>
    <n v="0"/>
    <n v="1"/>
    <n v="0"/>
    <m/>
    <n v="84.9"/>
  </r>
  <r>
    <x v="77"/>
    <d v="2025-01-16T00:00:00"/>
    <x v="0"/>
    <x v="0"/>
    <x v="1"/>
    <x v="1"/>
    <x v="1"/>
    <n v="0"/>
    <n v="0"/>
    <n v="0"/>
    <n v="0"/>
    <n v="0"/>
    <n v="2"/>
    <n v="0"/>
    <m/>
    <n v="48.4"/>
  </r>
  <r>
    <x v="78"/>
    <d v="2025-02-20T00:00:00"/>
    <x v="0"/>
    <x v="1"/>
    <x v="0"/>
    <x v="1"/>
    <x v="1"/>
    <n v="1"/>
    <n v="1"/>
    <n v="1"/>
    <n v="1"/>
    <n v="457.51"/>
    <n v="0"/>
    <n v="0"/>
    <n v="7"/>
    <n v="38"/>
  </r>
  <r>
    <x v="79"/>
    <d v="2025-05-21T00:00:00"/>
    <x v="0"/>
    <x v="2"/>
    <x v="1"/>
    <x v="4"/>
    <x v="1"/>
    <n v="1"/>
    <n v="0"/>
    <n v="0"/>
    <n v="0"/>
    <n v="0"/>
    <n v="0"/>
    <n v="0"/>
    <m/>
    <n v="44.2"/>
  </r>
  <r>
    <x v="80"/>
    <d v="2025-05-08T00:00:00"/>
    <x v="0"/>
    <x v="3"/>
    <x v="1"/>
    <x v="1"/>
    <x v="1"/>
    <n v="1"/>
    <n v="1"/>
    <n v="1"/>
    <n v="0"/>
    <n v="0"/>
    <n v="0"/>
    <n v="0"/>
    <m/>
    <n v="81.2"/>
  </r>
  <r>
    <x v="81"/>
    <d v="2025-03-08T00:00:00"/>
    <x v="0"/>
    <x v="3"/>
    <x v="1"/>
    <x v="3"/>
    <x v="1"/>
    <n v="1"/>
    <n v="1"/>
    <n v="0"/>
    <n v="0"/>
    <n v="0"/>
    <n v="0"/>
    <n v="0"/>
    <m/>
    <n v="63.8"/>
  </r>
  <r>
    <x v="82"/>
    <d v="2025-04-01T00:00:00"/>
    <x v="0"/>
    <x v="3"/>
    <x v="0"/>
    <x v="0"/>
    <x v="1"/>
    <n v="0"/>
    <n v="0"/>
    <n v="0"/>
    <n v="0"/>
    <n v="0"/>
    <n v="0"/>
    <n v="0"/>
    <m/>
    <n v="64.7"/>
  </r>
  <r>
    <x v="83"/>
    <d v="2025-03-03T00:00:00"/>
    <x v="0"/>
    <x v="1"/>
    <x v="1"/>
    <x v="4"/>
    <x v="0"/>
    <n v="0"/>
    <n v="0"/>
    <n v="0"/>
    <n v="0"/>
    <n v="0"/>
    <n v="0"/>
    <n v="0"/>
    <m/>
    <n v="60.4"/>
  </r>
  <r>
    <x v="84"/>
    <d v="2025-04-16T00:00:00"/>
    <x v="0"/>
    <x v="3"/>
    <x v="1"/>
    <x v="2"/>
    <x v="1"/>
    <n v="0"/>
    <n v="0"/>
    <n v="0"/>
    <n v="0"/>
    <n v="0"/>
    <n v="0"/>
    <n v="0"/>
    <m/>
    <n v="66.599999999999994"/>
  </r>
  <r>
    <x v="85"/>
    <d v="2025-01-09T00:00:00"/>
    <x v="0"/>
    <x v="0"/>
    <x v="0"/>
    <x v="1"/>
    <x v="1"/>
    <n v="1"/>
    <n v="0"/>
    <n v="0"/>
    <n v="0"/>
    <n v="0"/>
    <n v="0"/>
    <n v="0"/>
    <m/>
    <n v="50.9"/>
  </r>
  <r>
    <x v="86"/>
    <d v="2025-01-22T00:00:00"/>
    <x v="0"/>
    <x v="1"/>
    <x v="0"/>
    <x v="4"/>
    <x v="0"/>
    <n v="0"/>
    <n v="0"/>
    <n v="0"/>
    <n v="0"/>
    <n v="0"/>
    <n v="0"/>
    <n v="0"/>
    <m/>
    <n v="51"/>
  </r>
  <r>
    <x v="87"/>
    <d v="2025-04-30T00:00:00"/>
    <x v="0"/>
    <x v="3"/>
    <x v="1"/>
    <x v="0"/>
    <x v="2"/>
    <n v="0"/>
    <n v="0"/>
    <n v="0"/>
    <n v="0"/>
    <n v="0"/>
    <n v="0"/>
    <n v="0"/>
    <m/>
    <n v="65.8"/>
  </r>
  <r>
    <x v="88"/>
    <d v="2025-04-25T00:00:00"/>
    <x v="0"/>
    <x v="0"/>
    <x v="1"/>
    <x v="3"/>
    <x v="0"/>
    <n v="1"/>
    <n v="0"/>
    <n v="0"/>
    <n v="0"/>
    <n v="0"/>
    <n v="0"/>
    <n v="0"/>
    <m/>
    <n v="61.8"/>
  </r>
  <r>
    <x v="89"/>
    <d v="2025-02-01T00:00:00"/>
    <x v="0"/>
    <x v="0"/>
    <x v="1"/>
    <x v="1"/>
    <x v="0"/>
    <n v="1"/>
    <n v="0"/>
    <n v="0"/>
    <n v="0"/>
    <n v="0"/>
    <n v="0"/>
    <n v="0"/>
    <m/>
    <n v="54.5"/>
  </r>
  <r>
    <x v="90"/>
    <d v="2025-04-23T00:00:00"/>
    <x v="0"/>
    <x v="3"/>
    <x v="0"/>
    <x v="1"/>
    <x v="1"/>
    <n v="1"/>
    <n v="0"/>
    <n v="0"/>
    <n v="0"/>
    <n v="0"/>
    <n v="0"/>
    <n v="0"/>
    <m/>
    <n v="72.2"/>
  </r>
  <r>
    <x v="91"/>
    <d v="2025-02-27T00:00:00"/>
    <x v="0"/>
    <x v="3"/>
    <x v="1"/>
    <x v="4"/>
    <x v="1"/>
    <n v="1"/>
    <n v="0"/>
    <n v="0"/>
    <n v="0"/>
    <n v="0"/>
    <n v="0"/>
    <n v="0"/>
    <m/>
    <n v="42.3"/>
  </r>
  <r>
    <x v="92"/>
    <d v="2025-04-09T00:00:00"/>
    <x v="0"/>
    <x v="2"/>
    <x v="0"/>
    <x v="1"/>
    <x v="0"/>
    <n v="1"/>
    <n v="0"/>
    <n v="0"/>
    <n v="0"/>
    <n v="0"/>
    <n v="0"/>
    <n v="0"/>
    <m/>
    <n v="76.2"/>
  </r>
  <r>
    <x v="93"/>
    <d v="2025-05-13T00:00:00"/>
    <x v="0"/>
    <x v="3"/>
    <x v="2"/>
    <x v="1"/>
    <x v="2"/>
    <n v="1"/>
    <n v="1"/>
    <n v="1"/>
    <n v="0"/>
    <n v="0"/>
    <n v="1"/>
    <n v="0"/>
    <m/>
    <n v="37.4"/>
  </r>
  <r>
    <x v="94"/>
    <d v="2025-04-13T00:00:00"/>
    <x v="0"/>
    <x v="2"/>
    <x v="1"/>
    <x v="1"/>
    <x v="1"/>
    <n v="0"/>
    <n v="0"/>
    <n v="0"/>
    <n v="0"/>
    <n v="0"/>
    <n v="0"/>
    <n v="0"/>
    <m/>
    <n v="84.2"/>
  </r>
  <r>
    <x v="95"/>
    <d v="2025-02-05T00:00:00"/>
    <x v="0"/>
    <x v="2"/>
    <x v="1"/>
    <x v="4"/>
    <x v="1"/>
    <n v="0"/>
    <n v="0"/>
    <n v="0"/>
    <n v="0"/>
    <n v="0"/>
    <n v="0"/>
    <n v="0"/>
    <m/>
    <n v="68"/>
  </r>
  <r>
    <x v="96"/>
    <d v="2025-02-14T00:00:00"/>
    <x v="0"/>
    <x v="1"/>
    <x v="1"/>
    <x v="1"/>
    <x v="0"/>
    <n v="1"/>
    <n v="0"/>
    <n v="0"/>
    <n v="0"/>
    <n v="0"/>
    <n v="0"/>
    <n v="0"/>
    <m/>
    <n v="53.5"/>
  </r>
  <r>
    <x v="97"/>
    <d v="2025-02-11T00:00:00"/>
    <x v="0"/>
    <x v="0"/>
    <x v="0"/>
    <x v="1"/>
    <x v="2"/>
    <n v="1"/>
    <n v="0"/>
    <n v="0"/>
    <n v="0"/>
    <n v="0"/>
    <n v="0"/>
    <n v="0"/>
    <m/>
    <n v="63.2"/>
  </r>
  <r>
    <x v="98"/>
    <d v="2025-02-11T00:00:00"/>
    <x v="0"/>
    <x v="2"/>
    <x v="0"/>
    <x v="4"/>
    <x v="1"/>
    <n v="1"/>
    <n v="1"/>
    <n v="1"/>
    <n v="1"/>
    <n v="363.32"/>
    <n v="0"/>
    <n v="0"/>
    <n v="9"/>
    <n v="55.9"/>
  </r>
  <r>
    <x v="99"/>
    <d v="2025-05-26T00:00:00"/>
    <x v="0"/>
    <x v="0"/>
    <x v="1"/>
    <x v="1"/>
    <x v="1"/>
    <n v="1"/>
    <n v="0"/>
    <n v="0"/>
    <n v="0"/>
    <n v="0"/>
    <n v="0"/>
    <n v="0"/>
    <m/>
    <n v="63.5"/>
  </r>
  <r>
    <x v="100"/>
    <d v="2025-03-22T00:00:00"/>
    <x v="0"/>
    <x v="0"/>
    <x v="1"/>
    <x v="2"/>
    <x v="0"/>
    <n v="1"/>
    <n v="0"/>
    <n v="0"/>
    <n v="0"/>
    <n v="0"/>
    <n v="0"/>
    <n v="0"/>
    <m/>
    <n v="51.5"/>
  </r>
  <r>
    <x v="101"/>
    <d v="2025-04-08T00:00:00"/>
    <x v="0"/>
    <x v="1"/>
    <x v="1"/>
    <x v="2"/>
    <x v="1"/>
    <n v="1"/>
    <n v="0"/>
    <n v="0"/>
    <n v="0"/>
    <n v="0"/>
    <n v="0"/>
    <n v="0"/>
    <m/>
    <n v="74.400000000000006"/>
  </r>
  <r>
    <x v="102"/>
    <d v="2025-04-14T00:00:00"/>
    <x v="0"/>
    <x v="0"/>
    <x v="0"/>
    <x v="4"/>
    <x v="1"/>
    <n v="1"/>
    <n v="1"/>
    <n v="1"/>
    <n v="1"/>
    <n v="3887.98"/>
    <n v="0"/>
    <n v="0"/>
    <n v="13"/>
    <n v="60.2"/>
  </r>
  <r>
    <x v="103"/>
    <d v="2025-03-27T00:00:00"/>
    <x v="0"/>
    <x v="3"/>
    <x v="1"/>
    <x v="0"/>
    <x v="1"/>
    <n v="1"/>
    <n v="0"/>
    <n v="0"/>
    <n v="0"/>
    <n v="0"/>
    <n v="1"/>
    <n v="0"/>
    <m/>
    <n v="67.2"/>
  </r>
  <r>
    <x v="104"/>
    <d v="2025-01-05T00:00:00"/>
    <x v="0"/>
    <x v="3"/>
    <x v="1"/>
    <x v="4"/>
    <x v="1"/>
    <n v="1"/>
    <n v="1"/>
    <n v="1"/>
    <n v="0"/>
    <n v="0"/>
    <n v="0"/>
    <n v="0"/>
    <m/>
    <n v="79.599999999999994"/>
  </r>
  <r>
    <x v="105"/>
    <d v="2025-01-25T00:00:00"/>
    <x v="0"/>
    <x v="3"/>
    <x v="1"/>
    <x v="4"/>
    <x v="0"/>
    <n v="1"/>
    <n v="1"/>
    <n v="1"/>
    <n v="1"/>
    <n v="8610.7199999999993"/>
    <n v="0"/>
    <n v="0"/>
    <n v="6"/>
    <n v="61"/>
  </r>
  <r>
    <x v="106"/>
    <d v="2025-01-23T00:00:00"/>
    <x v="0"/>
    <x v="1"/>
    <x v="1"/>
    <x v="0"/>
    <x v="1"/>
    <n v="1"/>
    <n v="1"/>
    <n v="1"/>
    <n v="0"/>
    <n v="0"/>
    <n v="4"/>
    <n v="0"/>
    <m/>
    <n v="51.1"/>
  </r>
  <r>
    <x v="107"/>
    <d v="2025-05-25T00:00:00"/>
    <x v="0"/>
    <x v="2"/>
    <x v="0"/>
    <x v="3"/>
    <x v="1"/>
    <n v="1"/>
    <n v="0"/>
    <n v="0"/>
    <n v="0"/>
    <n v="0"/>
    <n v="0"/>
    <n v="0"/>
    <m/>
    <n v="92.1"/>
  </r>
  <r>
    <x v="108"/>
    <d v="2025-03-22T00:00:00"/>
    <x v="0"/>
    <x v="3"/>
    <x v="1"/>
    <x v="3"/>
    <x v="0"/>
    <n v="0"/>
    <n v="0"/>
    <n v="0"/>
    <n v="0"/>
    <n v="0"/>
    <n v="0"/>
    <n v="0"/>
    <m/>
    <n v="82.1"/>
  </r>
  <r>
    <x v="109"/>
    <d v="2025-02-12T00:00:00"/>
    <x v="0"/>
    <x v="1"/>
    <x v="0"/>
    <x v="2"/>
    <x v="0"/>
    <n v="1"/>
    <n v="0"/>
    <n v="0"/>
    <n v="0"/>
    <n v="0"/>
    <n v="1"/>
    <n v="0"/>
    <m/>
    <n v="74"/>
  </r>
  <r>
    <x v="110"/>
    <d v="2025-04-28T00:00:00"/>
    <x v="0"/>
    <x v="1"/>
    <x v="0"/>
    <x v="1"/>
    <x v="0"/>
    <n v="1"/>
    <n v="0"/>
    <n v="0"/>
    <n v="0"/>
    <n v="0"/>
    <n v="0"/>
    <n v="0"/>
    <m/>
    <n v="63.4"/>
  </r>
  <r>
    <x v="111"/>
    <d v="2025-01-30T00:00:00"/>
    <x v="0"/>
    <x v="0"/>
    <x v="1"/>
    <x v="1"/>
    <x v="0"/>
    <n v="1"/>
    <n v="0"/>
    <n v="0"/>
    <n v="0"/>
    <n v="0"/>
    <n v="0"/>
    <n v="0"/>
    <m/>
    <n v="53.2"/>
  </r>
  <r>
    <x v="112"/>
    <d v="2025-05-19T00:00:00"/>
    <x v="0"/>
    <x v="2"/>
    <x v="2"/>
    <x v="2"/>
    <x v="1"/>
    <n v="0"/>
    <n v="0"/>
    <n v="0"/>
    <n v="0"/>
    <n v="0"/>
    <n v="0"/>
    <n v="0"/>
    <m/>
    <n v="48.1"/>
  </r>
  <r>
    <x v="113"/>
    <d v="2025-01-23T00:00:00"/>
    <x v="0"/>
    <x v="3"/>
    <x v="1"/>
    <x v="4"/>
    <x v="1"/>
    <n v="1"/>
    <n v="1"/>
    <n v="0"/>
    <n v="0"/>
    <n v="0"/>
    <n v="0"/>
    <n v="0"/>
    <m/>
    <n v="61.5"/>
  </r>
  <r>
    <x v="114"/>
    <d v="2025-03-28T00:00:00"/>
    <x v="0"/>
    <x v="2"/>
    <x v="0"/>
    <x v="4"/>
    <x v="1"/>
    <n v="1"/>
    <n v="0"/>
    <n v="0"/>
    <n v="0"/>
    <n v="0"/>
    <n v="0"/>
    <n v="0"/>
    <m/>
    <n v="63.2"/>
  </r>
  <r>
    <x v="115"/>
    <d v="2025-01-11T00:00:00"/>
    <x v="0"/>
    <x v="1"/>
    <x v="1"/>
    <x v="1"/>
    <x v="1"/>
    <n v="0"/>
    <n v="0"/>
    <n v="0"/>
    <n v="0"/>
    <n v="0"/>
    <n v="0"/>
    <n v="0"/>
    <m/>
    <n v="71.900000000000006"/>
  </r>
  <r>
    <x v="116"/>
    <d v="2025-04-11T00:00:00"/>
    <x v="0"/>
    <x v="0"/>
    <x v="1"/>
    <x v="3"/>
    <x v="1"/>
    <n v="0"/>
    <n v="0"/>
    <n v="0"/>
    <n v="0"/>
    <n v="0"/>
    <n v="0"/>
    <n v="0"/>
    <m/>
    <n v="62.7"/>
  </r>
  <r>
    <x v="117"/>
    <d v="2025-01-02T00:00:00"/>
    <x v="0"/>
    <x v="1"/>
    <x v="1"/>
    <x v="2"/>
    <x v="1"/>
    <n v="1"/>
    <n v="0"/>
    <n v="0"/>
    <n v="0"/>
    <n v="0"/>
    <n v="0"/>
    <n v="0"/>
    <m/>
    <n v="51.5"/>
  </r>
  <r>
    <x v="118"/>
    <d v="2025-03-18T00:00:00"/>
    <x v="0"/>
    <x v="2"/>
    <x v="1"/>
    <x v="4"/>
    <x v="1"/>
    <n v="1"/>
    <n v="1"/>
    <n v="1"/>
    <n v="0"/>
    <n v="0"/>
    <n v="0"/>
    <n v="0"/>
    <m/>
    <n v="39.1"/>
  </r>
  <r>
    <x v="119"/>
    <d v="2025-03-31T00:00:00"/>
    <x v="0"/>
    <x v="0"/>
    <x v="1"/>
    <x v="0"/>
    <x v="1"/>
    <n v="1"/>
    <n v="0"/>
    <n v="0"/>
    <n v="0"/>
    <n v="0"/>
    <n v="0"/>
    <n v="0"/>
    <m/>
    <n v="43.8"/>
  </r>
  <r>
    <x v="120"/>
    <d v="2025-01-06T00:00:00"/>
    <x v="0"/>
    <x v="0"/>
    <x v="1"/>
    <x v="2"/>
    <x v="0"/>
    <n v="1"/>
    <n v="0"/>
    <n v="0"/>
    <n v="0"/>
    <n v="0"/>
    <n v="0"/>
    <n v="0"/>
    <m/>
    <n v="59.9"/>
  </r>
  <r>
    <x v="121"/>
    <d v="2025-01-26T00:00:00"/>
    <x v="0"/>
    <x v="0"/>
    <x v="1"/>
    <x v="3"/>
    <x v="1"/>
    <n v="1"/>
    <n v="1"/>
    <n v="0"/>
    <n v="0"/>
    <n v="0"/>
    <n v="0"/>
    <n v="0"/>
    <m/>
    <n v="71.400000000000006"/>
  </r>
  <r>
    <x v="122"/>
    <d v="2025-04-22T00:00:00"/>
    <x v="0"/>
    <x v="3"/>
    <x v="1"/>
    <x v="3"/>
    <x v="0"/>
    <n v="0"/>
    <n v="0"/>
    <n v="0"/>
    <n v="0"/>
    <n v="0"/>
    <n v="0"/>
    <n v="0"/>
    <m/>
    <n v="36.1"/>
  </r>
  <r>
    <x v="123"/>
    <d v="2025-05-30T00:00:00"/>
    <x v="0"/>
    <x v="1"/>
    <x v="3"/>
    <x v="0"/>
    <x v="0"/>
    <n v="1"/>
    <n v="1"/>
    <n v="0"/>
    <n v="0"/>
    <n v="0"/>
    <n v="0"/>
    <n v="0"/>
    <m/>
    <n v="47.9"/>
  </r>
  <r>
    <x v="124"/>
    <d v="2025-05-18T00:00:00"/>
    <x v="0"/>
    <x v="1"/>
    <x v="0"/>
    <x v="1"/>
    <x v="2"/>
    <n v="1"/>
    <n v="0"/>
    <n v="0"/>
    <n v="0"/>
    <n v="0"/>
    <n v="0"/>
    <n v="0"/>
    <m/>
    <n v="62.5"/>
  </r>
  <r>
    <x v="125"/>
    <d v="2025-01-13T00:00:00"/>
    <x v="0"/>
    <x v="3"/>
    <x v="0"/>
    <x v="2"/>
    <x v="2"/>
    <n v="1"/>
    <n v="0"/>
    <n v="0"/>
    <n v="0"/>
    <n v="0"/>
    <n v="0"/>
    <n v="0"/>
    <m/>
    <n v="56.9"/>
  </r>
  <r>
    <x v="126"/>
    <d v="2025-03-25T00:00:00"/>
    <x v="0"/>
    <x v="0"/>
    <x v="0"/>
    <x v="0"/>
    <x v="1"/>
    <n v="0"/>
    <n v="0"/>
    <n v="0"/>
    <n v="0"/>
    <n v="0"/>
    <n v="0"/>
    <n v="0"/>
    <m/>
    <n v="64.7"/>
  </r>
  <r>
    <x v="127"/>
    <d v="2025-04-29T00:00:00"/>
    <x v="0"/>
    <x v="3"/>
    <x v="0"/>
    <x v="1"/>
    <x v="1"/>
    <n v="1"/>
    <n v="1"/>
    <n v="1"/>
    <n v="0"/>
    <n v="0"/>
    <n v="0"/>
    <n v="0"/>
    <m/>
    <n v="64"/>
  </r>
  <r>
    <x v="128"/>
    <d v="2025-05-17T00:00:00"/>
    <x v="0"/>
    <x v="2"/>
    <x v="1"/>
    <x v="3"/>
    <x v="0"/>
    <n v="1"/>
    <n v="1"/>
    <n v="1"/>
    <n v="0"/>
    <n v="0"/>
    <n v="0"/>
    <n v="0"/>
    <m/>
    <n v="75.2"/>
  </r>
  <r>
    <x v="129"/>
    <d v="2025-01-02T00:00:00"/>
    <x v="0"/>
    <x v="0"/>
    <x v="1"/>
    <x v="2"/>
    <x v="1"/>
    <n v="1"/>
    <n v="0"/>
    <n v="0"/>
    <n v="0"/>
    <n v="0"/>
    <n v="1"/>
    <n v="0"/>
    <m/>
    <n v="79"/>
  </r>
  <r>
    <x v="130"/>
    <d v="2025-02-03T00:00:00"/>
    <x v="0"/>
    <x v="3"/>
    <x v="1"/>
    <x v="1"/>
    <x v="1"/>
    <n v="0"/>
    <n v="0"/>
    <n v="0"/>
    <n v="0"/>
    <n v="0"/>
    <n v="0"/>
    <n v="0"/>
    <m/>
    <n v="33"/>
  </r>
  <r>
    <x v="131"/>
    <d v="2025-03-04T00:00:00"/>
    <x v="0"/>
    <x v="2"/>
    <x v="1"/>
    <x v="1"/>
    <x v="1"/>
    <n v="1"/>
    <n v="0"/>
    <n v="0"/>
    <n v="0"/>
    <n v="0"/>
    <n v="0"/>
    <n v="0"/>
    <m/>
    <n v="67.900000000000006"/>
  </r>
  <r>
    <x v="132"/>
    <d v="2025-01-26T00:00:00"/>
    <x v="0"/>
    <x v="3"/>
    <x v="1"/>
    <x v="2"/>
    <x v="0"/>
    <n v="0"/>
    <n v="0"/>
    <n v="0"/>
    <n v="0"/>
    <n v="0"/>
    <n v="0"/>
    <n v="0"/>
    <m/>
    <n v="42.2"/>
  </r>
  <r>
    <x v="133"/>
    <d v="2025-05-12T00:00:00"/>
    <x v="0"/>
    <x v="1"/>
    <x v="1"/>
    <x v="2"/>
    <x v="0"/>
    <n v="1"/>
    <n v="1"/>
    <n v="1"/>
    <n v="0"/>
    <n v="0"/>
    <n v="0"/>
    <n v="0"/>
    <m/>
    <n v="43.4"/>
  </r>
  <r>
    <x v="134"/>
    <d v="2025-03-06T00:00:00"/>
    <x v="0"/>
    <x v="0"/>
    <x v="1"/>
    <x v="1"/>
    <x v="0"/>
    <n v="0"/>
    <n v="0"/>
    <n v="0"/>
    <n v="0"/>
    <n v="0"/>
    <n v="0"/>
    <n v="0"/>
    <m/>
    <n v="54.4"/>
  </r>
  <r>
    <x v="135"/>
    <d v="2025-03-10T00:00:00"/>
    <x v="0"/>
    <x v="3"/>
    <x v="0"/>
    <x v="0"/>
    <x v="2"/>
    <n v="0"/>
    <n v="0"/>
    <n v="0"/>
    <n v="0"/>
    <n v="0"/>
    <n v="0"/>
    <n v="0"/>
    <m/>
    <n v="45.7"/>
  </r>
  <r>
    <x v="136"/>
    <d v="2025-05-06T00:00:00"/>
    <x v="0"/>
    <x v="0"/>
    <x v="1"/>
    <x v="2"/>
    <x v="1"/>
    <n v="0"/>
    <n v="0"/>
    <n v="0"/>
    <n v="0"/>
    <n v="0"/>
    <n v="3"/>
    <n v="0"/>
    <m/>
    <n v="32"/>
  </r>
  <r>
    <x v="137"/>
    <d v="2025-02-23T00:00:00"/>
    <x v="0"/>
    <x v="3"/>
    <x v="0"/>
    <x v="2"/>
    <x v="1"/>
    <n v="1"/>
    <n v="0"/>
    <n v="0"/>
    <n v="0"/>
    <n v="0"/>
    <n v="0"/>
    <n v="0"/>
    <m/>
    <n v="70.900000000000006"/>
  </r>
  <r>
    <x v="138"/>
    <d v="2025-01-29T00:00:00"/>
    <x v="0"/>
    <x v="1"/>
    <x v="1"/>
    <x v="4"/>
    <x v="0"/>
    <n v="1"/>
    <n v="1"/>
    <n v="1"/>
    <n v="0"/>
    <n v="0"/>
    <n v="0"/>
    <n v="0"/>
    <m/>
    <n v="59.1"/>
  </r>
  <r>
    <x v="139"/>
    <d v="2025-01-31T00:00:00"/>
    <x v="0"/>
    <x v="0"/>
    <x v="1"/>
    <x v="1"/>
    <x v="0"/>
    <n v="0"/>
    <n v="0"/>
    <n v="0"/>
    <n v="0"/>
    <n v="0"/>
    <n v="0"/>
    <n v="0"/>
    <m/>
    <n v="62.4"/>
  </r>
  <r>
    <x v="140"/>
    <d v="2025-01-19T00:00:00"/>
    <x v="0"/>
    <x v="3"/>
    <x v="1"/>
    <x v="1"/>
    <x v="1"/>
    <n v="0"/>
    <n v="0"/>
    <n v="0"/>
    <n v="0"/>
    <n v="0"/>
    <n v="0"/>
    <n v="0"/>
    <m/>
    <n v="49.6"/>
  </r>
  <r>
    <x v="141"/>
    <d v="2025-04-03T00:00:00"/>
    <x v="0"/>
    <x v="1"/>
    <x v="0"/>
    <x v="4"/>
    <x v="1"/>
    <n v="1"/>
    <n v="1"/>
    <n v="1"/>
    <n v="1"/>
    <n v="404.4"/>
    <n v="0"/>
    <n v="0"/>
    <n v="9"/>
    <n v="80.599999999999994"/>
  </r>
  <r>
    <x v="142"/>
    <d v="2025-04-07T00:00:00"/>
    <x v="0"/>
    <x v="0"/>
    <x v="1"/>
    <x v="2"/>
    <x v="1"/>
    <n v="1"/>
    <n v="0"/>
    <n v="0"/>
    <n v="0"/>
    <n v="0"/>
    <n v="0"/>
    <n v="0"/>
    <m/>
    <n v="47.9"/>
  </r>
  <r>
    <x v="143"/>
    <d v="2025-01-06T00:00:00"/>
    <x v="0"/>
    <x v="2"/>
    <x v="1"/>
    <x v="2"/>
    <x v="0"/>
    <n v="1"/>
    <n v="1"/>
    <n v="0"/>
    <n v="0"/>
    <n v="0"/>
    <n v="0"/>
    <n v="0"/>
    <m/>
    <n v="54.8"/>
  </r>
  <r>
    <x v="144"/>
    <d v="2025-04-11T00:00:00"/>
    <x v="0"/>
    <x v="2"/>
    <x v="1"/>
    <x v="1"/>
    <x v="1"/>
    <n v="1"/>
    <n v="0"/>
    <n v="0"/>
    <n v="0"/>
    <n v="0"/>
    <n v="1"/>
    <n v="0"/>
    <m/>
    <n v="53.9"/>
  </r>
  <r>
    <x v="145"/>
    <d v="2025-04-23T00:00:00"/>
    <x v="0"/>
    <x v="2"/>
    <x v="1"/>
    <x v="2"/>
    <x v="1"/>
    <n v="1"/>
    <n v="0"/>
    <n v="0"/>
    <n v="0"/>
    <n v="0"/>
    <n v="0"/>
    <n v="0"/>
    <m/>
    <n v="41.3"/>
  </r>
  <r>
    <x v="146"/>
    <d v="2025-03-25T00:00:00"/>
    <x v="0"/>
    <x v="1"/>
    <x v="1"/>
    <x v="1"/>
    <x v="0"/>
    <n v="1"/>
    <n v="1"/>
    <n v="0"/>
    <n v="0"/>
    <n v="0"/>
    <n v="0"/>
    <n v="0"/>
    <m/>
    <n v="38.9"/>
  </r>
  <r>
    <x v="147"/>
    <d v="2025-05-25T00:00:00"/>
    <x v="0"/>
    <x v="3"/>
    <x v="0"/>
    <x v="1"/>
    <x v="0"/>
    <n v="1"/>
    <n v="0"/>
    <n v="0"/>
    <n v="0"/>
    <n v="0"/>
    <n v="0"/>
    <n v="0"/>
    <m/>
    <n v="63.6"/>
  </r>
  <r>
    <x v="148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</r>
  <r>
    <x v="149"/>
    <d v="2025-02-12T00:00:00"/>
    <x v="0"/>
    <x v="1"/>
    <x v="1"/>
    <x v="2"/>
    <x v="2"/>
    <n v="0"/>
    <n v="0"/>
    <n v="0"/>
    <n v="0"/>
    <n v="0"/>
    <n v="1"/>
    <n v="0"/>
    <m/>
    <n v="67.599999999999994"/>
  </r>
  <r>
    <x v="150"/>
    <d v="2025-04-29T00:00:00"/>
    <x v="0"/>
    <x v="0"/>
    <x v="1"/>
    <x v="4"/>
    <x v="2"/>
    <n v="1"/>
    <n v="0"/>
    <n v="0"/>
    <n v="0"/>
    <n v="0"/>
    <n v="0"/>
    <n v="0"/>
    <m/>
    <n v="43.1"/>
  </r>
  <r>
    <x v="151"/>
    <d v="2025-03-13T00:00:00"/>
    <x v="0"/>
    <x v="3"/>
    <x v="1"/>
    <x v="0"/>
    <x v="1"/>
    <n v="1"/>
    <n v="0"/>
    <n v="0"/>
    <n v="0"/>
    <n v="0"/>
    <n v="0"/>
    <n v="0"/>
    <m/>
    <n v="58.3"/>
  </r>
  <r>
    <x v="152"/>
    <d v="2025-02-04T00:00:00"/>
    <x v="0"/>
    <x v="2"/>
    <x v="0"/>
    <x v="2"/>
    <x v="1"/>
    <n v="1"/>
    <n v="0"/>
    <n v="0"/>
    <n v="0"/>
    <n v="0"/>
    <n v="0"/>
    <n v="0"/>
    <m/>
    <n v="69.8"/>
  </r>
  <r>
    <x v="153"/>
    <d v="2025-03-04T00:00:00"/>
    <x v="0"/>
    <x v="3"/>
    <x v="1"/>
    <x v="3"/>
    <x v="1"/>
    <n v="1"/>
    <n v="1"/>
    <n v="0"/>
    <n v="0"/>
    <n v="0"/>
    <n v="0"/>
    <n v="0"/>
    <m/>
    <m/>
  </r>
  <r>
    <x v="154"/>
    <d v="2025-02-04T00:00:00"/>
    <x v="0"/>
    <x v="1"/>
    <x v="1"/>
    <x v="2"/>
    <x v="0"/>
    <n v="1"/>
    <n v="1"/>
    <n v="0"/>
    <n v="0"/>
    <n v="0"/>
    <n v="0"/>
    <n v="0"/>
    <m/>
    <n v="41.9"/>
  </r>
  <r>
    <x v="155"/>
    <d v="2025-03-11T00:00:00"/>
    <x v="0"/>
    <x v="0"/>
    <x v="0"/>
    <x v="1"/>
    <x v="1"/>
    <n v="0"/>
    <n v="0"/>
    <n v="0"/>
    <n v="0"/>
    <n v="0"/>
    <n v="0"/>
    <n v="0"/>
    <m/>
    <n v="33.1"/>
  </r>
  <r>
    <x v="156"/>
    <d v="2025-04-22T00:00:00"/>
    <x v="0"/>
    <x v="1"/>
    <x v="1"/>
    <x v="1"/>
    <x v="1"/>
    <n v="0"/>
    <n v="0"/>
    <n v="0"/>
    <n v="0"/>
    <n v="0"/>
    <n v="0"/>
    <n v="0"/>
    <m/>
    <n v="58.6"/>
  </r>
  <r>
    <x v="157"/>
    <d v="2025-03-08T00:00:00"/>
    <x v="0"/>
    <x v="0"/>
    <x v="0"/>
    <x v="2"/>
    <x v="1"/>
    <n v="0"/>
    <n v="0"/>
    <n v="0"/>
    <n v="0"/>
    <n v="0"/>
    <n v="0"/>
    <n v="0"/>
    <m/>
    <n v="55.7"/>
  </r>
  <r>
    <x v="158"/>
    <d v="2025-03-10T00:00:00"/>
    <x v="0"/>
    <x v="2"/>
    <x v="1"/>
    <x v="1"/>
    <x v="1"/>
    <n v="0"/>
    <n v="0"/>
    <n v="0"/>
    <n v="0"/>
    <n v="0"/>
    <n v="2"/>
    <n v="0"/>
    <m/>
    <n v="64.900000000000006"/>
  </r>
  <r>
    <x v="159"/>
    <d v="2025-05-18T00:00:00"/>
    <x v="0"/>
    <x v="0"/>
    <x v="0"/>
    <x v="2"/>
    <x v="0"/>
    <n v="0"/>
    <n v="0"/>
    <n v="0"/>
    <n v="0"/>
    <n v="0"/>
    <n v="0"/>
    <n v="0"/>
    <m/>
    <n v="72.3"/>
  </r>
  <r>
    <x v="160"/>
    <d v="2025-05-14T00:00:00"/>
    <x v="0"/>
    <x v="0"/>
    <x v="1"/>
    <x v="4"/>
    <x v="0"/>
    <n v="0"/>
    <n v="0"/>
    <n v="0"/>
    <n v="0"/>
    <n v="0"/>
    <n v="0"/>
    <n v="0"/>
    <m/>
    <n v="42.1"/>
  </r>
  <r>
    <x v="161"/>
    <d v="2025-02-01T00:00:00"/>
    <x v="0"/>
    <x v="0"/>
    <x v="1"/>
    <x v="1"/>
    <x v="1"/>
    <n v="0"/>
    <n v="0"/>
    <n v="0"/>
    <n v="0"/>
    <n v="0"/>
    <n v="0"/>
    <n v="0"/>
    <m/>
    <m/>
  </r>
  <r>
    <x v="162"/>
    <d v="2025-04-11T00:00:00"/>
    <x v="0"/>
    <x v="3"/>
    <x v="1"/>
    <x v="1"/>
    <x v="0"/>
    <n v="0"/>
    <n v="0"/>
    <n v="0"/>
    <n v="0"/>
    <n v="0"/>
    <n v="1"/>
    <n v="0"/>
    <m/>
    <n v="64.8"/>
  </r>
  <r>
    <x v="163"/>
    <d v="2025-02-14T00:00:00"/>
    <x v="0"/>
    <x v="2"/>
    <x v="1"/>
    <x v="1"/>
    <x v="1"/>
    <n v="0"/>
    <n v="0"/>
    <n v="0"/>
    <n v="0"/>
    <n v="0"/>
    <n v="0"/>
    <n v="0"/>
    <m/>
    <n v="72.099999999999994"/>
  </r>
  <r>
    <x v="164"/>
    <d v="2025-05-19T00:00:00"/>
    <x v="0"/>
    <x v="2"/>
    <x v="1"/>
    <x v="4"/>
    <x v="1"/>
    <n v="1"/>
    <n v="0"/>
    <n v="0"/>
    <n v="0"/>
    <n v="0"/>
    <n v="0"/>
    <n v="0"/>
    <m/>
    <n v="50.6"/>
  </r>
  <r>
    <x v="165"/>
    <d v="2025-04-26T00:00:00"/>
    <x v="0"/>
    <x v="0"/>
    <x v="0"/>
    <x v="2"/>
    <x v="0"/>
    <n v="1"/>
    <n v="1"/>
    <n v="1"/>
    <n v="1"/>
    <n v="1281.25"/>
    <n v="1"/>
    <n v="0"/>
    <n v="9"/>
    <n v="43.4"/>
  </r>
  <r>
    <x v="166"/>
    <d v="2025-04-06T00:00:00"/>
    <x v="0"/>
    <x v="3"/>
    <x v="1"/>
    <x v="4"/>
    <x v="1"/>
    <n v="1"/>
    <n v="0"/>
    <n v="0"/>
    <n v="0"/>
    <n v="0"/>
    <n v="0"/>
    <n v="0"/>
    <m/>
    <n v="59.7"/>
  </r>
  <r>
    <x v="167"/>
    <d v="2025-03-06T00:00:00"/>
    <x v="0"/>
    <x v="3"/>
    <x v="1"/>
    <x v="2"/>
    <x v="1"/>
    <n v="1"/>
    <n v="0"/>
    <n v="0"/>
    <n v="0"/>
    <n v="0"/>
    <n v="1"/>
    <n v="0"/>
    <m/>
    <m/>
  </r>
  <r>
    <x v="168"/>
    <d v="2025-03-10T00:00:00"/>
    <x v="0"/>
    <x v="1"/>
    <x v="1"/>
    <x v="4"/>
    <x v="0"/>
    <n v="0"/>
    <n v="0"/>
    <n v="0"/>
    <n v="0"/>
    <n v="0"/>
    <n v="0"/>
    <n v="0"/>
    <m/>
    <n v="54.5"/>
  </r>
  <r>
    <x v="169"/>
    <d v="2025-03-30T00:00:00"/>
    <x v="0"/>
    <x v="0"/>
    <x v="1"/>
    <x v="1"/>
    <x v="1"/>
    <n v="1"/>
    <n v="0"/>
    <n v="0"/>
    <n v="0"/>
    <n v="0"/>
    <n v="0"/>
    <n v="0"/>
    <m/>
    <n v="71.099999999999994"/>
  </r>
  <r>
    <x v="170"/>
    <d v="2025-05-29T00:00:00"/>
    <x v="0"/>
    <x v="2"/>
    <x v="3"/>
    <x v="2"/>
    <x v="1"/>
    <n v="1"/>
    <n v="1"/>
    <n v="1"/>
    <n v="0"/>
    <n v="0"/>
    <n v="0"/>
    <n v="0"/>
    <m/>
    <n v="44.4"/>
  </r>
  <r>
    <x v="171"/>
    <d v="2025-03-23T00:00:00"/>
    <x v="0"/>
    <x v="0"/>
    <x v="1"/>
    <x v="1"/>
    <x v="1"/>
    <n v="1"/>
    <n v="0"/>
    <n v="0"/>
    <n v="0"/>
    <n v="0"/>
    <n v="0"/>
    <n v="0"/>
    <m/>
    <n v="61.7"/>
  </r>
  <r>
    <x v="172"/>
    <d v="2025-02-18T00:00:00"/>
    <x v="0"/>
    <x v="0"/>
    <x v="2"/>
    <x v="1"/>
    <x v="0"/>
    <n v="0"/>
    <n v="0"/>
    <n v="0"/>
    <n v="0"/>
    <n v="0"/>
    <n v="1"/>
    <n v="0"/>
    <m/>
    <n v="81.3"/>
  </r>
  <r>
    <x v="173"/>
    <d v="2025-01-26T00:00:00"/>
    <x v="0"/>
    <x v="0"/>
    <x v="0"/>
    <x v="0"/>
    <x v="1"/>
    <n v="1"/>
    <n v="0"/>
    <n v="0"/>
    <n v="0"/>
    <n v="0"/>
    <n v="2"/>
    <n v="0"/>
    <m/>
    <n v="28.7"/>
  </r>
  <r>
    <x v="174"/>
    <d v="2025-04-23T00:00:00"/>
    <x v="0"/>
    <x v="2"/>
    <x v="1"/>
    <x v="4"/>
    <x v="0"/>
    <n v="0"/>
    <n v="0"/>
    <n v="0"/>
    <n v="0"/>
    <n v="0"/>
    <n v="0"/>
    <n v="0"/>
    <m/>
    <n v="53"/>
  </r>
  <r>
    <x v="175"/>
    <d v="2025-03-16T00:00:00"/>
    <x v="0"/>
    <x v="3"/>
    <x v="2"/>
    <x v="3"/>
    <x v="0"/>
    <n v="1"/>
    <n v="0"/>
    <n v="0"/>
    <n v="0"/>
    <n v="0"/>
    <n v="0"/>
    <n v="0"/>
    <m/>
    <n v="54.9"/>
  </r>
  <r>
    <x v="176"/>
    <d v="2025-04-29T00:00:00"/>
    <x v="0"/>
    <x v="1"/>
    <x v="1"/>
    <x v="1"/>
    <x v="0"/>
    <n v="1"/>
    <n v="0"/>
    <n v="0"/>
    <n v="0"/>
    <n v="0"/>
    <n v="0"/>
    <n v="0"/>
    <m/>
    <n v="58.2"/>
  </r>
  <r>
    <x v="177"/>
    <d v="2025-04-06T00:00:00"/>
    <x v="0"/>
    <x v="0"/>
    <x v="1"/>
    <x v="1"/>
    <x v="1"/>
    <n v="0"/>
    <n v="0"/>
    <n v="0"/>
    <n v="0"/>
    <n v="0"/>
    <n v="0"/>
    <n v="0"/>
    <m/>
    <n v="80.599999999999994"/>
  </r>
  <r>
    <x v="178"/>
    <d v="2025-04-17T00:00:00"/>
    <x v="0"/>
    <x v="0"/>
    <x v="0"/>
    <x v="3"/>
    <x v="2"/>
    <n v="1"/>
    <n v="1"/>
    <n v="1"/>
    <n v="0"/>
    <n v="0"/>
    <n v="0"/>
    <n v="0"/>
    <m/>
    <n v="38.4"/>
  </r>
  <r>
    <x v="179"/>
    <d v="2025-04-03T00:00:00"/>
    <x v="0"/>
    <x v="3"/>
    <x v="1"/>
    <x v="2"/>
    <x v="1"/>
    <n v="1"/>
    <n v="0"/>
    <n v="0"/>
    <n v="0"/>
    <n v="0"/>
    <n v="0"/>
    <n v="0"/>
    <m/>
    <n v="56.1"/>
  </r>
  <r>
    <x v="180"/>
    <d v="2025-04-25T00:00:00"/>
    <x v="0"/>
    <x v="1"/>
    <x v="1"/>
    <x v="2"/>
    <x v="1"/>
    <n v="0"/>
    <n v="0"/>
    <n v="0"/>
    <n v="0"/>
    <n v="0"/>
    <n v="0"/>
    <n v="0"/>
    <m/>
    <n v="62.6"/>
  </r>
  <r>
    <x v="181"/>
    <d v="2025-04-30T00:00:00"/>
    <x v="0"/>
    <x v="3"/>
    <x v="1"/>
    <x v="1"/>
    <x v="2"/>
    <n v="0"/>
    <n v="0"/>
    <n v="0"/>
    <n v="0"/>
    <n v="0"/>
    <n v="0"/>
    <n v="0"/>
    <m/>
    <n v="36.299999999999997"/>
  </r>
  <r>
    <x v="182"/>
    <d v="2025-03-12T00:00:00"/>
    <x v="0"/>
    <x v="3"/>
    <x v="1"/>
    <x v="2"/>
    <x v="1"/>
    <n v="1"/>
    <n v="0"/>
    <n v="0"/>
    <n v="0"/>
    <n v="0"/>
    <n v="0"/>
    <n v="0"/>
    <m/>
    <n v="52.1"/>
  </r>
  <r>
    <x v="183"/>
    <d v="2025-05-04T00:00:00"/>
    <x v="0"/>
    <x v="3"/>
    <x v="1"/>
    <x v="1"/>
    <x v="1"/>
    <n v="1"/>
    <n v="0"/>
    <n v="0"/>
    <n v="0"/>
    <n v="0"/>
    <n v="0"/>
    <n v="0"/>
    <m/>
    <n v="45.1"/>
  </r>
  <r>
    <x v="184"/>
    <d v="2025-02-07T00:00:00"/>
    <x v="0"/>
    <x v="3"/>
    <x v="2"/>
    <x v="2"/>
    <x v="2"/>
    <n v="0"/>
    <n v="0"/>
    <n v="0"/>
    <n v="0"/>
    <n v="0"/>
    <n v="0"/>
    <n v="0"/>
    <m/>
    <n v="67.5"/>
  </r>
  <r>
    <x v="185"/>
    <d v="2025-04-28T00:00:00"/>
    <x v="0"/>
    <x v="2"/>
    <x v="2"/>
    <x v="0"/>
    <x v="0"/>
    <n v="1"/>
    <n v="1"/>
    <n v="1"/>
    <n v="0"/>
    <n v="0"/>
    <n v="0"/>
    <n v="0"/>
    <m/>
    <n v="80"/>
  </r>
  <r>
    <x v="186"/>
    <d v="2025-05-15T00:00:00"/>
    <x v="0"/>
    <x v="2"/>
    <x v="0"/>
    <x v="3"/>
    <x v="1"/>
    <n v="0"/>
    <n v="0"/>
    <n v="0"/>
    <n v="0"/>
    <n v="0"/>
    <n v="0"/>
    <n v="0"/>
    <m/>
    <n v="56.4"/>
  </r>
  <r>
    <x v="187"/>
    <d v="2025-01-18T00:00:00"/>
    <x v="0"/>
    <x v="1"/>
    <x v="1"/>
    <x v="2"/>
    <x v="0"/>
    <n v="0"/>
    <n v="0"/>
    <n v="0"/>
    <n v="0"/>
    <n v="0"/>
    <n v="0"/>
    <n v="0"/>
    <m/>
    <n v="55.4"/>
  </r>
  <r>
    <x v="188"/>
    <d v="2025-02-15T00:00:00"/>
    <x v="0"/>
    <x v="3"/>
    <x v="1"/>
    <x v="4"/>
    <x v="0"/>
    <n v="1"/>
    <n v="0"/>
    <n v="0"/>
    <n v="0"/>
    <n v="0"/>
    <n v="0"/>
    <n v="0"/>
    <m/>
    <n v="67.900000000000006"/>
  </r>
  <r>
    <x v="189"/>
    <d v="2025-02-18T00:00:00"/>
    <x v="0"/>
    <x v="0"/>
    <x v="2"/>
    <x v="0"/>
    <x v="1"/>
    <n v="1"/>
    <n v="0"/>
    <n v="0"/>
    <n v="0"/>
    <n v="0"/>
    <n v="0"/>
    <n v="0"/>
    <m/>
    <n v="62.5"/>
  </r>
  <r>
    <x v="190"/>
    <d v="2025-01-30T00:00:00"/>
    <x v="0"/>
    <x v="3"/>
    <x v="0"/>
    <x v="0"/>
    <x v="0"/>
    <n v="1"/>
    <n v="1"/>
    <n v="1"/>
    <n v="0"/>
    <n v="0"/>
    <n v="0"/>
    <n v="0"/>
    <m/>
    <n v="54.3"/>
  </r>
  <r>
    <x v="191"/>
    <d v="2025-02-09T00:00:00"/>
    <x v="0"/>
    <x v="3"/>
    <x v="0"/>
    <x v="1"/>
    <x v="0"/>
    <n v="1"/>
    <n v="0"/>
    <n v="0"/>
    <n v="0"/>
    <n v="0"/>
    <n v="0"/>
    <n v="0"/>
    <m/>
    <n v="37.5"/>
  </r>
  <r>
    <x v="192"/>
    <d v="2025-03-16T00:00:00"/>
    <x v="0"/>
    <x v="1"/>
    <x v="1"/>
    <x v="2"/>
    <x v="0"/>
    <n v="1"/>
    <n v="0"/>
    <n v="0"/>
    <n v="0"/>
    <n v="0"/>
    <n v="0"/>
    <n v="0"/>
    <m/>
    <n v="52.6"/>
  </r>
  <r>
    <x v="193"/>
    <d v="2025-05-19T00:00:00"/>
    <x v="0"/>
    <x v="0"/>
    <x v="1"/>
    <x v="2"/>
    <x v="1"/>
    <n v="1"/>
    <n v="0"/>
    <n v="0"/>
    <n v="0"/>
    <n v="0"/>
    <n v="0"/>
    <n v="0"/>
    <m/>
    <n v="46.1"/>
  </r>
  <r>
    <x v="194"/>
    <d v="2025-05-16T00:00:00"/>
    <x v="0"/>
    <x v="3"/>
    <x v="0"/>
    <x v="1"/>
    <x v="0"/>
    <n v="1"/>
    <n v="0"/>
    <n v="0"/>
    <n v="0"/>
    <n v="0"/>
    <n v="0"/>
    <n v="0"/>
    <m/>
    <n v="54.7"/>
  </r>
  <r>
    <x v="195"/>
    <d v="2025-04-25T00:00:00"/>
    <x v="0"/>
    <x v="1"/>
    <x v="0"/>
    <x v="3"/>
    <x v="0"/>
    <n v="0"/>
    <n v="0"/>
    <n v="0"/>
    <n v="0"/>
    <n v="0"/>
    <n v="0"/>
    <n v="0"/>
    <m/>
    <n v="74.2"/>
  </r>
  <r>
    <x v="196"/>
    <d v="2025-02-27T00:00:00"/>
    <x v="0"/>
    <x v="0"/>
    <x v="1"/>
    <x v="4"/>
    <x v="0"/>
    <n v="1"/>
    <n v="1"/>
    <n v="1"/>
    <n v="1"/>
    <n v="1052.8"/>
    <n v="2"/>
    <n v="0"/>
    <n v="6"/>
    <n v="64.7"/>
  </r>
  <r>
    <x v="197"/>
    <d v="2025-04-26T00:00:00"/>
    <x v="0"/>
    <x v="3"/>
    <x v="1"/>
    <x v="2"/>
    <x v="0"/>
    <n v="0"/>
    <n v="0"/>
    <n v="0"/>
    <n v="0"/>
    <n v="0"/>
    <n v="0"/>
    <n v="0"/>
    <m/>
    <n v="65.900000000000006"/>
  </r>
  <r>
    <x v="198"/>
    <d v="2025-05-14T00:00:00"/>
    <x v="0"/>
    <x v="0"/>
    <x v="1"/>
    <x v="1"/>
    <x v="0"/>
    <n v="1"/>
    <n v="0"/>
    <n v="0"/>
    <n v="0"/>
    <n v="0"/>
    <n v="0"/>
    <n v="0"/>
    <m/>
    <n v="64"/>
  </r>
  <r>
    <x v="199"/>
    <d v="2025-03-05T00:00:00"/>
    <x v="0"/>
    <x v="0"/>
    <x v="1"/>
    <x v="1"/>
    <x v="2"/>
    <n v="1"/>
    <n v="0"/>
    <n v="0"/>
    <n v="0"/>
    <n v="0"/>
    <n v="0"/>
    <n v="0"/>
    <m/>
    <n v="57.2"/>
  </r>
  <r>
    <x v="200"/>
    <d v="2025-04-02T00:00:00"/>
    <x v="0"/>
    <x v="1"/>
    <x v="0"/>
    <x v="1"/>
    <x v="1"/>
    <n v="1"/>
    <n v="0"/>
    <n v="0"/>
    <n v="0"/>
    <n v="0"/>
    <n v="0"/>
    <n v="0"/>
    <m/>
    <n v="80.5"/>
  </r>
  <r>
    <x v="201"/>
    <d v="2025-05-14T00:00:00"/>
    <x v="0"/>
    <x v="3"/>
    <x v="2"/>
    <x v="1"/>
    <x v="1"/>
    <n v="0"/>
    <n v="0"/>
    <n v="0"/>
    <n v="0"/>
    <n v="0"/>
    <n v="0"/>
    <n v="0"/>
    <m/>
    <n v="53.9"/>
  </r>
  <r>
    <x v="202"/>
    <d v="2025-05-21T00:00:00"/>
    <x v="0"/>
    <x v="0"/>
    <x v="1"/>
    <x v="2"/>
    <x v="1"/>
    <n v="1"/>
    <n v="1"/>
    <n v="0"/>
    <n v="0"/>
    <n v="0"/>
    <n v="0"/>
    <n v="0"/>
    <m/>
    <n v="77.5"/>
  </r>
  <r>
    <x v="203"/>
    <d v="2025-01-27T00:00:00"/>
    <x v="0"/>
    <x v="2"/>
    <x v="1"/>
    <x v="4"/>
    <x v="0"/>
    <n v="0"/>
    <n v="0"/>
    <n v="0"/>
    <n v="0"/>
    <n v="0"/>
    <n v="0"/>
    <n v="0"/>
    <m/>
    <n v="84.2"/>
  </r>
  <r>
    <x v="204"/>
    <d v="2025-05-22T00:00:00"/>
    <x v="0"/>
    <x v="1"/>
    <x v="0"/>
    <x v="1"/>
    <x v="1"/>
    <n v="1"/>
    <n v="1"/>
    <n v="0"/>
    <n v="0"/>
    <n v="0"/>
    <n v="0"/>
    <n v="0"/>
    <m/>
    <n v="54.9"/>
  </r>
  <r>
    <x v="205"/>
    <d v="2025-05-19T00:00:00"/>
    <x v="0"/>
    <x v="3"/>
    <x v="1"/>
    <x v="2"/>
    <x v="1"/>
    <n v="0"/>
    <n v="0"/>
    <n v="0"/>
    <n v="0"/>
    <n v="0"/>
    <n v="0"/>
    <n v="0"/>
    <m/>
    <n v="69.3"/>
  </r>
  <r>
    <x v="206"/>
    <d v="2025-01-14T00:00:00"/>
    <x v="0"/>
    <x v="3"/>
    <x v="0"/>
    <x v="2"/>
    <x v="1"/>
    <n v="1"/>
    <n v="0"/>
    <n v="0"/>
    <n v="0"/>
    <n v="0"/>
    <n v="2"/>
    <n v="0"/>
    <m/>
    <n v="42.3"/>
  </r>
  <r>
    <x v="207"/>
    <d v="2025-01-21T00:00:00"/>
    <x v="0"/>
    <x v="0"/>
    <x v="0"/>
    <x v="3"/>
    <x v="2"/>
    <n v="1"/>
    <n v="0"/>
    <n v="0"/>
    <n v="0"/>
    <n v="0"/>
    <n v="1"/>
    <n v="0"/>
    <m/>
    <n v="69.599999999999994"/>
  </r>
  <r>
    <x v="208"/>
    <d v="2025-05-16T00:00:00"/>
    <x v="0"/>
    <x v="2"/>
    <x v="1"/>
    <x v="1"/>
    <x v="1"/>
    <n v="0"/>
    <n v="0"/>
    <n v="0"/>
    <n v="0"/>
    <n v="0"/>
    <n v="0"/>
    <n v="0"/>
    <m/>
    <n v="40.700000000000003"/>
  </r>
  <r>
    <x v="209"/>
    <d v="2025-02-02T00:00:00"/>
    <x v="0"/>
    <x v="0"/>
    <x v="1"/>
    <x v="0"/>
    <x v="1"/>
    <n v="1"/>
    <n v="0"/>
    <n v="0"/>
    <n v="0"/>
    <n v="0"/>
    <n v="0"/>
    <n v="0"/>
    <m/>
    <n v="54"/>
  </r>
  <r>
    <x v="210"/>
    <d v="2025-03-23T00:00:00"/>
    <x v="0"/>
    <x v="2"/>
    <x v="3"/>
    <x v="3"/>
    <x v="1"/>
    <n v="1"/>
    <n v="1"/>
    <n v="1"/>
    <n v="1"/>
    <n v="553.37"/>
    <n v="0"/>
    <n v="0"/>
    <n v="5"/>
    <n v="46.3"/>
  </r>
  <r>
    <x v="211"/>
    <d v="2025-01-24T00:00:00"/>
    <x v="0"/>
    <x v="2"/>
    <x v="1"/>
    <x v="1"/>
    <x v="1"/>
    <n v="1"/>
    <n v="0"/>
    <n v="0"/>
    <n v="0"/>
    <n v="0"/>
    <n v="0"/>
    <n v="0"/>
    <m/>
    <n v="64.2"/>
  </r>
  <r>
    <x v="212"/>
    <d v="2025-04-12T00:00:00"/>
    <x v="0"/>
    <x v="0"/>
    <x v="0"/>
    <x v="1"/>
    <x v="1"/>
    <n v="1"/>
    <n v="0"/>
    <n v="0"/>
    <n v="0"/>
    <n v="0"/>
    <n v="0"/>
    <n v="0"/>
    <m/>
    <n v="75.2"/>
  </r>
  <r>
    <x v="213"/>
    <d v="2025-02-18T00:00:00"/>
    <x v="0"/>
    <x v="2"/>
    <x v="0"/>
    <x v="2"/>
    <x v="1"/>
    <n v="1"/>
    <n v="1"/>
    <n v="0"/>
    <n v="0"/>
    <n v="0"/>
    <n v="0"/>
    <n v="0"/>
    <m/>
    <n v="60.9"/>
  </r>
  <r>
    <x v="214"/>
    <d v="2025-05-28T00:00:00"/>
    <x v="0"/>
    <x v="3"/>
    <x v="1"/>
    <x v="0"/>
    <x v="0"/>
    <n v="1"/>
    <n v="1"/>
    <n v="1"/>
    <n v="0"/>
    <n v="0"/>
    <n v="0"/>
    <n v="0"/>
    <m/>
    <n v="62.1"/>
  </r>
  <r>
    <x v="215"/>
    <d v="2025-04-18T00:00:00"/>
    <x v="0"/>
    <x v="3"/>
    <x v="1"/>
    <x v="4"/>
    <x v="0"/>
    <n v="0"/>
    <n v="0"/>
    <n v="0"/>
    <n v="0"/>
    <n v="0"/>
    <n v="0"/>
    <n v="0"/>
    <m/>
    <n v="45.4"/>
  </r>
  <r>
    <x v="216"/>
    <d v="2025-03-27T00:00:00"/>
    <x v="0"/>
    <x v="0"/>
    <x v="1"/>
    <x v="2"/>
    <x v="0"/>
    <n v="1"/>
    <n v="0"/>
    <n v="0"/>
    <n v="0"/>
    <n v="0"/>
    <n v="0"/>
    <n v="0"/>
    <m/>
    <n v="53.3"/>
  </r>
  <r>
    <x v="217"/>
    <d v="2025-02-25T00:00:00"/>
    <x v="0"/>
    <x v="0"/>
    <x v="2"/>
    <x v="4"/>
    <x v="1"/>
    <n v="1"/>
    <n v="0"/>
    <n v="0"/>
    <n v="0"/>
    <n v="0"/>
    <n v="0"/>
    <n v="0"/>
    <m/>
    <m/>
  </r>
  <r>
    <x v="218"/>
    <d v="2025-02-19T00:00:00"/>
    <x v="0"/>
    <x v="2"/>
    <x v="1"/>
    <x v="2"/>
    <x v="1"/>
    <n v="0"/>
    <n v="0"/>
    <n v="0"/>
    <n v="0"/>
    <n v="0"/>
    <n v="1"/>
    <n v="0"/>
    <m/>
    <n v="38.200000000000003"/>
  </r>
  <r>
    <x v="219"/>
    <d v="2025-04-11T00:00:00"/>
    <x v="0"/>
    <x v="1"/>
    <x v="1"/>
    <x v="2"/>
    <x v="1"/>
    <n v="1"/>
    <n v="1"/>
    <n v="0"/>
    <n v="0"/>
    <n v="0"/>
    <n v="3"/>
    <n v="0"/>
    <m/>
    <n v="59"/>
  </r>
  <r>
    <x v="220"/>
    <d v="2025-01-22T00:00:00"/>
    <x v="0"/>
    <x v="2"/>
    <x v="2"/>
    <x v="3"/>
    <x v="2"/>
    <n v="1"/>
    <n v="1"/>
    <n v="1"/>
    <n v="0"/>
    <n v="0"/>
    <n v="0"/>
    <n v="0"/>
    <m/>
    <n v="80.599999999999994"/>
  </r>
  <r>
    <x v="221"/>
    <d v="2025-01-12T00:00:00"/>
    <x v="0"/>
    <x v="3"/>
    <x v="1"/>
    <x v="4"/>
    <x v="1"/>
    <n v="1"/>
    <n v="0"/>
    <n v="0"/>
    <n v="0"/>
    <n v="0"/>
    <n v="0"/>
    <n v="0"/>
    <m/>
    <n v="67"/>
  </r>
  <r>
    <x v="222"/>
    <d v="2025-02-17T00:00:00"/>
    <x v="0"/>
    <x v="1"/>
    <x v="1"/>
    <x v="0"/>
    <x v="1"/>
    <n v="1"/>
    <n v="0"/>
    <n v="0"/>
    <n v="0"/>
    <n v="0"/>
    <n v="1"/>
    <n v="0"/>
    <m/>
    <n v="72.099999999999994"/>
  </r>
  <r>
    <x v="223"/>
    <d v="2025-04-11T00:00:00"/>
    <x v="0"/>
    <x v="1"/>
    <x v="0"/>
    <x v="1"/>
    <x v="1"/>
    <n v="0"/>
    <n v="0"/>
    <n v="0"/>
    <n v="0"/>
    <n v="0"/>
    <n v="0"/>
    <n v="0"/>
    <m/>
    <n v="74.099999999999994"/>
  </r>
  <r>
    <x v="224"/>
    <d v="2025-05-25T00:00:00"/>
    <x v="0"/>
    <x v="3"/>
    <x v="1"/>
    <x v="3"/>
    <x v="2"/>
    <n v="0"/>
    <n v="0"/>
    <n v="0"/>
    <n v="0"/>
    <n v="0"/>
    <n v="0"/>
    <n v="0"/>
    <m/>
    <n v="84.8"/>
  </r>
  <r>
    <x v="225"/>
    <d v="2025-03-12T00:00:00"/>
    <x v="0"/>
    <x v="3"/>
    <x v="1"/>
    <x v="1"/>
    <x v="0"/>
    <n v="1"/>
    <n v="0"/>
    <n v="0"/>
    <n v="0"/>
    <n v="0"/>
    <n v="0"/>
    <n v="0"/>
    <m/>
    <n v="33"/>
  </r>
  <r>
    <x v="226"/>
    <d v="2025-04-20T00:00:00"/>
    <x v="0"/>
    <x v="0"/>
    <x v="2"/>
    <x v="0"/>
    <x v="1"/>
    <n v="0"/>
    <n v="0"/>
    <n v="0"/>
    <n v="0"/>
    <n v="0"/>
    <n v="0"/>
    <n v="0"/>
    <m/>
    <n v="52.5"/>
  </r>
  <r>
    <x v="227"/>
    <d v="2025-02-23T00:00:00"/>
    <x v="0"/>
    <x v="0"/>
    <x v="2"/>
    <x v="1"/>
    <x v="1"/>
    <n v="0"/>
    <n v="0"/>
    <n v="0"/>
    <n v="0"/>
    <n v="0"/>
    <n v="0"/>
    <n v="0"/>
    <m/>
    <n v="66.900000000000006"/>
  </r>
  <r>
    <x v="228"/>
    <d v="2025-01-24T00:00:00"/>
    <x v="0"/>
    <x v="0"/>
    <x v="1"/>
    <x v="1"/>
    <x v="0"/>
    <n v="1"/>
    <n v="1"/>
    <n v="1"/>
    <n v="0"/>
    <n v="0"/>
    <n v="1"/>
    <n v="0"/>
    <m/>
    <n v="32.700000000000003"/>
  </r>
  <r>
    <x v="229"/>
    <d v="2025-01-16T00:00:00"/>
    <x v="0"/>
    <x v="1"/>
    <x v="1"/>
    <x v="1"/>
    <x v="2"/>
    <n v="1"/>
    <n v="1"/>
    <n v="1"/>
    <n v="0"/>
    <n v="0"/>
    <n v="1"/>
    <n v="0"/>
    <m/>
    <n v="70.599999999999994"/>
  </r>
  <r>
    <x v="230"/>
    <d v="2025-02-17T00:00:00"/>
    <x v="0"/>
    <x v="0"/>
    <x v="1"/>
    <x v="4"/>
    <x v="1"/>
    <n v="0"/>
    <n v="0"/>
    <n v="0"/>
    <n v="0"/>
    <n v="0"/>
    <n v="0"/>
    <n v="0"/>
    <m/>
    <n v="69.400000000000006"/>
  </r>
  <r>
    <x v="231"/>
    <d v="2025-05-04T00:00:00"/>
    <x v="0"/>
    <x v="0"/>
    <x v="0"/>
    <x v="1"/>
    <x v="0"/>
    <n v="1"/>
    <n v="0"/>
    <n v="0"/>
    <n v="0"/>
    <n v="0"/>
    <n v="0"/>
    <n v="0"/>
    <m/>
    <n v="56.1"/>
  </r>
  <r>
    <x v="232"/>
    <d v="2025-01-12T00:00:00"/>
    <x v="0"/>
    <x v="1"/>
    <x v="1"/>
    <x v="1"/>
    <x v="0"/>
    <n v="0"/>
    <n v="0"/>
    <n v="0"/>
    <n v="0"/>
    <n v="0"/>
    <n v="0"/>
    <n v="0"/>
    <m/>
    <n v="55.8"/>
  </r>
  <r>
    <x v="233"/>
    <d v="2025-04-28T00:00:00"/>
    <x v="0"/>
    <x v="0"/>
    <x v="2"/>
    <x v="1"/>
    <x v="1"/>
    <n v="0"/>
    <n v="0"/>
    <n v="0"/>
    <n v="0"/>
    <n v="0"/>
    <n v="0"/>
    <n v="0"/>
    <m/>
    <n v="49.3"/>
  </r>
  <r>
    <x v="234"/>
    <d v="2025-02-26T00:00:00"/>
    <x v="0"/>
    <x v="0"/>
    <x v="1"/>
    <x v="1"/>
    <x v="1"/>
    <n v="0"/>
    <n v="0"/>
    <n v="0"/>
    <n v="0"/>
    <n v="0"/>
    <n v="0"/>
    <n v="0"/>
    <m/>
    <n v="71.8"/>
  </r>
  <r>
    <x v="235"/>
    <d v="2025-03-18T00:00:00"/>
    <x v="0"/>
    <x v="1"/>
    <x v="1"/>
    <x v="4"/>
    <x v="1"/>
    <n v="1"/>
    <n v="0"/>
    <n v="0"/>
    <n v="0"/>
    <n v="0"/>
    <n v="3"/>
    <n v="0"/>
    <m/>
    <n v="39.700000000000003"/>
  </r>
  <r>
    <x v="236"/>
    <d v="2025-03-01T00:00:00"/>
    <x v="0"/>
    <x v="3"/>
    <x v="0"/>
    <x v="1"/>
    <x v="2"/>
    <n v="1"/>
    <n v="0"/>
    <n v="0"/>
    <n v="0"/>
    <n v="0"/>
    <n v="0"/>
    <n v="0"/>
    <m/>
    <n v="45.4"/>
  </r>
  <r>
    <x v="237"/>
    <d v="2025-04-05T00:00:00"/>
    <x v="0"/>
    <x v="0"/>
    <x v="0"/>
    <x v="4"/>
    <x v="2"/>
    <n v="1"/>
    <n v="0"/>
    <n v="0"/>
    <n v="0"/>
    <n v="0"/>
    <n v="0"/>
    <n v="0"/>
    <m/>
    <n v="69.900000000000006"/>
  </r>
  <r>
    <x v="238"/>
    <d v="2025-03-12T00:00:00"/>
    <x v="0"/>
    <x v="0"/>
    <x v="0"/>
    <x v="4"/>
    <x v="1"/>
    <n v="1"/>
    <n v="1"/>
    <n v="1"/>
    <n v="0"/>
    <n v="0"/>
    <n v="0"/>
    <n v="0"/>
    <m/>
    <n v="56.1"/>
  </r>
  <r>
    <x v="239"/>
    <d v="2025-03-15T00:00:00"/>
    <x v="0"/>
    <x v="1"/>
    <x v="1"/>
    <x v="3"/>
    <x v="0"/>
    <n v="1"/>
    <n v="1"/>
    <n v="0"/>
    <n v="0"/>
    <n v="0"/>
    <n v="0"/>
    <n v="0"/>
    <m/>
    <n v="45.9"/>
  </r>
  <r>
    <x v="240"/>
    <d v="2025-02-23T00:00:00"/>
    <x v="0"/>
    <x v="1"/>
    <x v="1"/>
    <x v="0"/>
    <x v="1"/>
    <n v="0"/>
    <n v="0"/>
    <n v="0"/>
    <n v="0"/>
    <n v="0"/>
    <n v="0"/>
    <n v="0"/>
    <m/>
    <n v="65.8"/>
  </r>
  <r>
    <x v="241"/>
    <d v="2025-04-22T00:00:00"/>
    <x v="0"/>
    <x v="0"/>
    <x v="1"/>
    <x v="1"/>
    <x v="0"/>
    <n v="1"/>
    <n v="0"/>
    <n v="0"/>
    <n v="0"/>
    <n v="0"/>
    <n v="0"/>
    <n v="0"/>
    <m/>
    <n v="48.2"/>
  </r>
  <r>
    <x v="242"/>
    <d v="2025-01-09T00:00:00"/>
    <x v="0"/>
    <x v="2"/>
    <x v="1"/>
    <x v="1"/>
    <x v="0"/>
    <n v="1"/>
    <n v="1"/>
    <n v="1"/>
    <n v="0"/>
    <n v="0"/>
    <n v="0"/>
    <n v="0"/>
    <m/>
    <n v="81.099999999999994"/>
  </r>
  <r>
    <x v="243"/>
    <d v="2025-03-05T00:00:00"/>
    <x v="0"/>
    <x v="2"/>
    <x v="2"/>
    <x v="4"/>
    <x v="2"/>
    <n v="1"/>
    <n v="1"/>
    <n v="0"/>
    <n v="0"/>
    <n v="0"/>
    <n v="0"/>
    <n v="0"/>
    <m/>
    <n v="53.2"/>
  </r>
  <r>
    <x v="244"/>
    <d v="2025-01-28T00:00:00"/>
    <x v="0"/>
    <x v="0"/>
    <x v="1"/>
    <x v="4"/>
    <x v="1"/>
    <n v="1"/>
    <n v="1"/>
    <n v="1"/>
    <n v="0"/>
    <n v="0"/>
    <n v="0"/>
    <n v="0"/>
    <m/>
    <n v="57.7"/>
  </r>
  <r>
    <x v="245"/>
    <d v="2025-01-21T00:00:00"/>
    <x v="0"/>
    <x v="1"/>
    <x v="1"/>
    <x v="2"/>
    <x v="2"/>
    <n v="1"/>
    <n v="1"/>
    <n v="0"/>
    <n v="0"/>
    <n v="0"/>
    <n v="0"/>
    <n v="0"/>
    <m/>
    <n v="78.900000000000006"/>
  </r>
  <r>
    <x v="246"/>
    <d v="2025-03-14T00:00:00"/>
    <x v="0"/>
    <x v="3"/>
    <x v="1"/>
    <x v="3"/>
    <x v="0"/>
    <n v="0"/>
    <n v="0"/>
    <n v="0"/>
    <n v="0"/>
    <n v="0"/>
    <n v="0"/>
    <n v="0"/>
    <m/>
    <n v="55.7"/>
  </r>
  <r>
    <x v="247"/>
    <d v="2025-02-03T00:00:00"/>
    <x v="0"/>
    <x v="1"/>
    <x v="1"/>
    <x v="2"/>
    <x v="1"/>
    <n v="0"/>
    <n v="0"/>
    <n v="0"/>
    <n v="0"/>
    <n v="0"/>
    <n v="0"/>
    <n v="0"/>
    <m/>
    <n v="52.3"/>
  </r>
  <r>
    <x v="248"/>
    <d v="2025-05-22T00:00:00"/>
    <x v="0"/>
    <x v="0"/>
    <x v="1"/>
    <x v="4"/>
    <x v="1"/>
    <n v="1"/>
    <n v="0"/>
    <n v="0"/>
    <n v="0"/>
    <n v="0"/>
    <n v="0"/>
    <n v="0"/>
    <m/>
    <n v="51.5"/>
  </r>
  <r>
    <x v="249"/>
    <d v="2025-04-25T00:00:00"/>
    <x v="0"/>
    <x v="0"/>
    <x v="0"/>
    <x v="0"/>
    <x v="1"/>
    <n v="1"/>
    <n v="0"/>
    <n v="0"/>
    <n v="0"/>
    <n v="0"/>
    <n v="0"/>
    <n v="0"/>
    <m/>
    <n v="70.8"/>
  </r>
  <r>
    <x v="250"/>
    <d v="2025-01-30T00:00:00"/>
    <x v="0"/>
    <x v="0"/>
    <x v="0"/>
    <x v="0"/>
    <x v="0"/>
    <n v="1"/>
    <n v="1"/>
    <n v="1"/>
    <n v="1"/>
    <n v="1250.78"/>
    <n v="0"/>
    <n v="0"/>
    <n v="10"/>
    <n v="39"/>
  </r>
  <r>
    <x v="251"/>
    <d v="2025-05-23T00:00:00"/>
    <x v="0"/>
    <x v="1"/>
    <x v="1"/>
    <x v="1"/>
    <x v="1"/>
    <n v="1"/>
    <n v="0"/>
    <n v="0"/>
    <n v="0"/>
    <n v="0"/>
    <n v="0"/>
    <n v="0"/>
    <m/>
    <n v="61.6"/>
  </r>
  <r>
    <x v="252"/>
    <d v="2025-02-14T00:00:00"/>
    <x v="0"/>
    <x v="2"/>
    <x v="0"/>
    <x v="1"/>
    <x v="1"/>
    <n v="1"/>
    <n v="1"/>
    <n v="1"/>
    <n v="0"/>
    <n v="0"/>
    <n v="0"/>
    <n v="0"/>
    <m/>
    <n v="46.8"/>
  </r>
  <r>
    <x v="253"/>
    <d v="2025-03-05T00:00:00"/>
    <x v="0"/>
    <x v="0"/>
    <x v="1"/>
    <x v="2"/>
    <x v="2"/>
    <n v="0"/>
    <n v="0"/>
    <n v="0"/>
    <n v="0"/>
    <n v="0"/>
    <n v="1"/>
    <n v="0"/>
    <m/>
    <n v="58.5"/>
  </r>
  <r>
    <x v="254"/>
    <d v="2025-05-27T00:00:00"/>
    <x v="0"/>
    <x v="0"/>
    <x v="1"/>
    <x v="2"/>
    <x v="0"/>
    <n v="0"/>
    <n v="0"/>
    <n v="0"/>
    <n v="0"/>
    <n v="0"/>
    <n v="0"/>
    <n v="0"/>
    <m/>
    <n v="70.900000000000006"/>
  </r>
  <r>
    <x v="255"/>
    <d v="2025-01-07T00:00:00"/>
    <x v="0"/>
    <x v="3"/>
    <x v="1"/>
    <x v="2"/>
    <x v="1"/>
    <n v="1"/>
    <n v="0"/>
    <n v="0"/>
    <n v="0"/>
    <n v="0"/>
    <n v="0"/>
    <n v="0"/>
    <m/>
    <n v="48.4"/>
  </r>
  <r>
    <x v="256"/>
    <d v="2025-04-21T00:00:00"/>
    <x v="0"/>
    <x v="0"/>
    <x v="1"/>
    <x v="0"/>
    <x v="1"/>
    <n v="1"/>
    <n v="0"/>
    <n v="0"/>
    <n v="0"/>
    <n v="0"/>
    <n v="0"/>
    <n v="0"/>
    <m/>
    <n v="58"/>
  </r>
  <r>
    <x v="257"/>
    <d v="2025-05-13T00:00:00"/>
    <x v="0"/>
    <x v="0"/>
    <x v="1"/>
    <x v="2"/>
    <x v="1"/>
    <n v="0"/>
    <n v="0"/>
    <n v="0"/>
    <n v="0"/>
    <n v="0"/>
    <n v="0"/>
    <n v="0"/>
    <m/>
    <n v="61.6"/>
  </r>
  <r>
    <x v="258"/>
    <d v="2025-01-28T00:00:00"/>
    <x v="0"/>
    <x v="2"/>
    <x v="0"/>
    <x v="1"/>
    <x v="1"/>
    <n v="1"/>
    <n v="0"/>
    <n v="0"/>
    <n v="0"/>
    <n v="0"/>
    <n v="0"/>
    <n v="0"/>
    <m/>
    <n v="43.2"/>
  </r>
  <r>
    <x v="259"/>
    <d v="2025-03-16T00:00:00"/>
    <x v="0"/>
    <x v="2"/>
    <x v="0"/>
    <x v="2"/>
    <x v="0"/>
    <n v="1"/>
    <n v="0"/>
    <n v="0"/>
    <n v="0"/>
    <n v="0"/>
    <n v="1"/>
    <n v="0"/>
    <m/>
    <n v="53.3"/>
  </r>
  <r>
    <x v="260"/>
    <d v="2025-04-10T00:00:00"/>
    <x v="0"/>
    <x v="2"/>
    <x v="0"/>
    <x v="4"/>
    <x v="0"/>
    <n v="0"/>
    <n v="0"/>
    <n v="0"/>
    <n v="0"/>
    <n v="0"/>
    <n v="0"/>
    <n v="0"/>
    <m/>
    <n v="33.9"/>
  </r>
  <r>
    <x v="261"/>
    <d v="2025-03-15T00:00:00"/>
    <x v="0"/>
    <x v="2"/>
    <x v="0"/>
    <x v="3"/>
    <x v="1"/>
    <n v="1"/>
    <n v="1"/>
    <n v="1"/>
    <n v="0"/>
    <n v="0"/>
    <n v="0"/>
    <n v="0"/>
    <m/>
    <n v="35.4"/>
  </r>
  <r>
    <x v="262"/>
    <d v="2025-04-07T00:00:00"/>
    <x v="0"/>
    <x v="1"/>
    <x v="0"/>
    <x v="1"/>
    <x v="0"/>
    <n v="1"/>
    <n v="0"/>
    <n v="0"/>
    <n v="0"/>
    <n v="0"/>
    <n v="0"/>
    <n v="0"/>
    <m/>
    <n v="45"/>
  </r>
  <r>
    <x v="263"/>
    <d v="2025-02-12T00:00:00"/>
    <x v="0"/>
    <x v="3"/>
    <x v="1"/>
    <x v="1"/>
    <x v="1"/>
    <n v="1"/>
    <n v="1"/>
    <n v="0"/>
    <n v="0"/>
    <n v="0"/>
    <n v="0"/>
    <n v="0"/>
    <m/>
    <n v="86.5"/>
  </r>
  <r>
    <x v="264"/>
    <d v="2025-05-05T00:00:00"/>
    <x v="0"/>
    <x v="1"/>
    <x v="1"/>
    <x v="4"/>
    <x v="1"/>
    <n v="0"/>
    <n v="0"/>
    <n v="0"/>
    <n v="0"/>
    <n v="0"/>
    <n v="0"/>
    <n v="0"/>
    <m/>
    <n v="58.1"/>
  </r>
  <r>
    <x v="265"/>
    <d v="2025-03-11T00:00:00"/>
    <x v="0"/>
    <x v="1"/>
    <x v="1"/>
    <x v="3"/>
    <x v="1"/>
    <n v="1"/>
    <n v="0"/>
    <n v="0"/>
    <n v="0"/>
    <n v="0"/>
    <n v="0"/>
    <n v="0"/>
    <m/>
    <n v="36.1"/>
  </r>
  <r>
    <x v="266"/>
    <d v="2025-02-10T00:00:00"/>
    <x v="0"/>
    <x v="2"/>
    <x v="1"/>
    <x v="4"/>
    <x v="1"/>
    <n v="0"/>
    <n v="0"/>
    <n v="0"/>
    <n v="0"/>
    <n v="0"/>
    <n v="0"/>
    <n v="0"/>
    <m/>
    <n v="62.8"/>
  </r>
  <r>
    <x v="267"/>
    <d v="2025-04-06T00:00:00"/>
    <x v="0"/>
    <x v="3"/>
    <x v="1"/>
    <x v="1"/>
    <x v="1"/>
    <n v="0"/>
    <n v="0"/>
    <n v="0"/>
    <n v="0"/>
    <n v="0"/>
    <n v="0"/>
    <n v="0"/>
    <m/>
    <n v="54.2"/>
  </r>
  <r>
    <x v="268"/>
    <d v="2025-01-06T00:00:00"/>
    <x v="0"/>
    <x v="2"/>
    <x v="1"/>
    <x v="3"/>
    <x v="1"/>
    <n v="0"/>
    <n v="0"/>
    <n v="0"/>
    <n v="0"/>
    <n v="0"/>
    <n v="0"/>
    <n v="0"/>
    <m/>
    <n v="50"/>
  </r>
  <r>
    <x v="269"/>
    <d v="2025-03-25T00:00:00"/>
    <x v="0"/>
    <x v="2"/>
    <x v="2"/>
    <x v="2"/>
    <x v="0"/>
    <n v="1"/>
    <n v="0"/>
    <n v="0"/>
    <n v="0"/>
    <n v="0"/>
    <n v="0"/>
    <n v="0"/>
    <m/>
    <n v="62"/>
  </r>
  <r>
    <x v="270"/>
    <d v="2025-02-13T00:00:00"/>
    <x v="0"/>
    <x v="2"/>
    <x v="0"/>
    <x v="3"/>
    <x v="1"/>
    <n v="1"/>
    <n v="0"/>
    <n v="0"/>
    <n v="0"/>
    <n v="0"/>
    <n v="0"/>
    <n v="0"/>
    <m/>
    <n v="29.3"/>
  </r>
  <r>
    <x v="271"/>
    <d v="2025-03-17T00:00:00"/>
    <x v="0"/>
    <x v="1"/>
    <x v="0"/>
    <x v="1"/>
    <x v="1"/>
    <n v="1"/>
    <n v="0"/>
    <n v="0"/>
    <n v="0"/>
    <n v="0"/>
    <n v="0"/>
    <n v="0"/>
    <m/>
    <n v="67.900000000000006"/>
  </r>
  <r>
    <x v="272"/>
    <d v="2025-05-10T00:00:00"/>
    <x v="0"/>
    <x v="0"/>
    <x v="1"/>
    <x v="3"/>
    <x v="1"/>
    <n v="1"/>
    <n v="1"/>
    <n v="1"/>
    <n v="0"/>
    <n v="0"/>
    <n v="0"/>
    <n v="0"/>
    <m/>
    <n v="67.599999999999994"/>
  </r>
  <r>
    <x v="273"/>
    <d v="2025-05-07T00:00:00"/>
    <x v="0"/>
    <x v="3"/>
    <x v="1"/>
    <x v="2"/>
    <x v="0"/>
    <n v="0"/>
    <n v="0"/>
    <n v="0"/>
    <n v="0"/>
    <n v="0"/>
    <n v="0"/>
    <n v="0"/>
    <m/>
    <n v="67.400000000000006"/>
  </r>
  <r>
    <x v="274"/>
    <d v="2025-02-26T00:00:00"/>
    <x v="0"/>
    <x v="1"/>
    <x v="0"/>
    <x v="2"/>
    <x v="2"/>
    <n v="0"/>
    <n v="0"/>
    <n v="0"/>
    <n v="0"/>
    <n v="0"/>
    <n v="2"/>
    <n v="0"/>
    <m/>
    <n v="53"/>
  </r>
  <r>
    <x v="275"/>
    <d v="2025-05-11T00:00:00"/>
    <x v="0"/>
    <x v="0"/>
    <x v="1"/>
    <x v="1"/>
    <x v="0"/>
    <n v="0"/>
    <n v="0"/>
    <n v="0"/>
    <n v="0"/>
    <n v="0"/>
    <n v="0"/>
    <n v="0"/>
    <m/>
    <n v="65.5"/>
  </r>
  <r>
    <x v="276"/>
    <d v="2025-03-20T00:00:00"/>
    <x v="0"/>
    <x v="3"/>
    <x v="1"/>
    <x v="1"/>
    <x v="0"/>
    <n v="1"/>
    <n v="1"/>
    <n v="0"/>
    <n v="0"/>
    <n v="0"/>
    <n v="0"/>
    <n v="0"/>
    <m/>
    <n v="49.6"/>
  </r>
  <r>
    <x v="277"/>
    <d v="2025-01-19T00:00:00"/>
    <x v="0"/>
    <x v="0"/>
    <x v="1"/>
    <x v="0"/>
    <x v="1"/>
    <n v="1"/>
    <n v="1"/>
    <n v="0"/>
    <n v="0"/>
    <n v="0"/>
    <n v="0"/>
    <n v="0"/>
    <m/>
    <n v="74.5"/>
  </r>
  <r>
    <x v="278"/>
    <d v="2025-03-08T00:00:00"/>
    <x v="0"/>
    <x v="0"/>
    <x v="2"/>
    <x v="2"/>
    <x v="2"/>
    <n v="1"/>
    <n v="0"/>
    <n v="0"/>
    <n v="0"/>
    <n v="0"/>
    <n v="1"/>
    <n v="0"/>
    <m/>
    <n v="46.9"/>
  </r>
  <r>
    <x v="279"/>
    <d v="2025-04-25T00:00:00"/>
    <x v="0"/>
    <x v="0"/>
    <x v="1"/>
    <x v="1"/>
    <x v="1"/>
    <n v="0"/>
    <n v="0"/>
    <n v="0"/>
    <n v="0"/>
    <n v="0"/>
    <n v="0"/>
    <n v="0"/>
    <m/>
    <n v="87.1"/>
  </r>
  <r>
    <x v="280"/>
    <d v="2025-04-04T00:00:00"/>
    <x v="0"/>
    <x v="0"/>
    <x v="0"/>
    <x v="1"/>
    <x v="1"/>
    <n v="1"/>
    <n v="0"/>
    <n v="0"/>
    <n v="0"/>
    <n v="0"/>
    <n v="0"/>
    <n v="0"/>
    <m/>
    <n v="56"/>
  </r>
  <r>
    <x v="281"/>
    <d v="2025-05-01T00:00:00"/>
    <x v="0"/>
    <x v="2"/>
    <x v="1"/>
    <x v="2"/>
    <x v="2"/>
    <n v="1"/>
    <n v="0"/>
    <n v="0"/>
    <n v="0"/>
    <n v="0"/>
    <n v="1"/>
    <n v="0"/>
    <m/>
    <n v="61.7"/>
  </r>
  <r>
    <x v="282"/>
    <d v="2025-01-21T00:00:00"/>
    <x v="0"/>
    <x v="3"/>
    <x v="1"/>
    <x v="4"/>
    <x v="1"/>
    <n v="1"/>
    <n v="0"/>
    <n v="0"/>
    <n v="0"/>
    <n v="0"/>
    <n v="1"/>
    <n v="0"/>
    <m/>
    <n v="70.5"/>
  </r>
  <r>
    <x v="283"/>
    <d v="2025-02-10T00:00:00"/>
    <x v="0"/>
    <x v="0"/>
    <x v="0"/>
    <x v="3"/>
    <x v="0"/>
    <n v="1"/>
    <n v="0"/>
    <n v="0"/>
    <n v="0"/>
    <n v="0"/>
    <n v="0"/>
    <n v="0"/>
    <m/>
    <n v="33.4"/>
  </r>
  <r>
    <x v="284"/>
    <d v="2025-05-06T00:00:00"/>
    <x v="0"/>
    <x v="3"/>
    <x v="0"/>
    <x v="1"/>
    <x v="1"/>
    <n v="1"/>
    <n v="0"/>
    <n v="0"/>
    <n v="0"/>
    <n v="0"/>
    <n v="0"/>
    <n v="0"/>
    <m/>
    <n v="57.5"/>
  </r>
  <r>
    <x v="285"/>
    <d v="2025-02-08T00:00:00"/>
    <x v="0"/>
    <x v="0"/>
    <x v="0"/>
    <x v="2"/>
    <x v="0"/>
    <n v="1"/>
    <n v="1"/>
    <n v="0"/>
    <n v="0"/>
    <n v="0"/>
    <n v="0"/>
    <n v="0"/>
    <m/>
    <n v="85.7"/>
  </r>
  <r>
    <x v="286"/>
    <d v="2025-05-31T00:00:00"/>
    <x v="0"/>
    <x v="2"/>
    <x v="1"/>
    <x v="4"/>
    <x v="1"/>
    <n v="1"/>
    <n v="0"/>
    <n v="0"/>
    <n v="0"/>
    <n v="0"/>
    <n v="0"/>
    <n v="0"/>
    <m/>
    <n v="41.9"/>
  </r>
  <r>
    <x v="287"/>
    <d v="2025-02-07T00:00:00"/>
    <x v="0"/>
    <x v="1"/>
    <x v="1"/>
    <x v="0"/>
    <x v="0"/>
    <n v="1"/>
    <n v="0"/>
    <n v="0"/>
    <n v="0"/>
    <n v="0"/>
    <n v="0"/>
    <n v="0"/>
    <m/>
    <n v="70.2"/>
  </r>
  <r>
    <x v="288"/>
    <d v="2025-02-10T00:00:00"/>
    <x v="0"/>
    <x v="0"/>
    <x v="1"/>
    <x v="4"/>
    <x v="1"/>
    <n v="1"/>
    <n v="0"/>
    <n v="0"/>
    <n v="0"/>
    <n v="0"/>
    <n v="0"/>
    <n v="0"/>
    <m/>
    <n v="42.6"/>
  </r>
  <r>
    <x v="289"/>
    <d v="2025-01-31T00:00:00"/>
    <x v="0"/>
    <x v="1"/>
    <x v="1"/>
    <x v="4"/>
    <x v="0"/>
    <n v="0"/>
    <n v="0"/>
    <n v="0"/>
    <n v="0"/>
    <n v="0"/>
    <n v="2"/>
    <n v="0"/>
    <m/>
    <n v="30.4"/>
  </r>
  <r>
    <x v="290"/>
    <d v="2025-03-16T00:00:00"/>
    <x v="0"/>
    <x v="2"/>
    <x v="1"/>
    <x v="2"/>
    <x v="0"/>
    <n v="1"/>
    <n v="0"/>
    <n v="0"/>
    <n v="0"/>
    <n v="0"/>
    <n v="0"/>
    <n v="0"/>
    <m/>
    <n v="63.7"/>
  </r>
  <r>
    <x v="291"/>
    <d v="2025-04-24T00:00:00"/>
    <x v="0"/>
    <x v="3"/>
    <x v="1"/>
    <x v="4"/>
    <x v="0"/>
    <n v="0"/>
    <n v="0"/>
    <n v="0"/>
    <n v="0"/>
    <n v="0"/>
    <n v="0"/>
    <n v="0"/>
    <m/>
    <n v="42.7"/>
  </r>
  <r>
    <x v="292"/>
    <d v="2025-01-28T00:00:00"/>
    <x v="0"/>
    <x v="0"/>
    <x v="1"/>
    <x v="1"/>
    <x v="1"/>
    <n v="0"/>
    <n v="0"/>
    <n v="0"/>
    <n v="0"/>
    <n v="0"/>
    <n v="0"/>
    <n v="0"/>
    <m/>
    <n v="74.3"/>
  </r>
  <r>
    <x v="293"/>
    <d v="2025-02-16T00:00:00"/>
    <x v="0"/>
    <x v="1"/>
    <x v="0"/>
    <x v="0"/>
    <x v="1"/>
    <n v="1"/>
    <n v="0"/>
    <n v="0"/>
    <n v="0"/>
    <n v="0"/>
    <n v="0"/>
    <n v="0"/>
    <m/>
    <n v="40.6"/>
  </r>
  <r>
    <x v="294"/>
    <d v="2025-03-23T00:00:00"/>
    <x v="0"/>
    <x v="2"/>
    <x v="1"/>
    <x v="1"/>
    <x v="2"/>
    <n v="0"/>
    <n v="0"/>
    <n v="0"/>
    <n v="0"/>
    <n v="0"/>
    <n v="0"/>
    <n v="0"/>
    <m/>
    <n v="67"/>
  </r>
  <r>
    <x v="295"/>
    <d v="2025-05-31T00:00:00"/>
    <x v="0"/>
    <x v="2"/>
    <x v="1"/>
    <x v="2"/>
    <x v="2"/>
    <n v="0"/>
    <n v="0"/>
    <n v="0"/>
    <n v="0"/>
    <n v="0"/>
    <n v="0"/>
    <n v="0"/>
    <m/>
    <n v="51"/>
  </r>
  <r>
    <x v="296"/>
    <d v="2025-04-13T00:00:00"/>
    <x v="0"/>
    <x v="1"/>
    <x v="1"/>
    <x v="4"/>
    <x v="0"/>
    <n v="1"/>
    <n v="1"/>
    <n v="0"/>
    <n v="0"/>
    <n v="0"/>
    <n v="1"/>
    <n v="0"/>
    <m/>
    <n v="54.8"/>
  </r>
  <r>
    <x v="297"/>
    <d v="2025-05-14T00:00:00"/>
    <x v="0"/>
    <x v="0"/>
    <x v="2"/>
    <x v="0"/>
    <x v="0"/>
    <n v="0"/>
    <n v="0"/>
    <n v="0"/>
    <n v="0"/>
    <n v="0"/>
    <n v="0"/>
    <n v="0"/>
    <m/>
    <n v="40.799999999999997"/>
  </r>
  <r>
    <x v="298"/>
    <d v="2025-02-19T00:00:00"/>
    <x v="0"/>
    <x v="2"/>
    <x v="1"/>
    <x v="2"/>
    <x v="1"/>
    <n v="0"/>
    <n v="0"/>
    <n v="0"/>
    <n v="0"/>
    <n v="0"/>
    <n v="0"/>
    <n v="0"/>
    <m/>
    <n v="48.8"/>
  </r>
  <r>
    <x v="299"/>
    <d v="2025-01-24T00:00:00"/>
    <x v="0"/>
    <x v="3"/>
    <x v="1"/>
    <x v="5"/>
    <x v="0"/>
    <n v="1"/>
    <n v="1"/>
    <n v="1"/>
    <n v="1"/>
    <n v="1198.69"/>
    <n v="1"/>
    <n v="0"/>
    <n v="6"/>
    <n v="88.9"/>
  </r>
  <r>
    <x v="300"/>
    <d v="2025-05-09T00:00:00"/>
    <x v="0"/>
    <x v="0"/>
    <x v="1"/>
    <x v="0"/>
    <x v="0"/>
    <n v="1"/>
    <n v="1"/>
    <n v="1"/>
    <n v="0"/>
    <n v="0"/>
    <n v="1"/>
    <n v="0"/>
    <m/>
    <n v="60.5"/>
  </r>
  <r>
    <x v="301"/>
    <d v="2025-02-11T00:00:00"/>
    <x v="0"/>
    <x v="0"/>
    <x v="1"/>
    <x v="1"/>
    <x v="0"/>
    <n v="1"/>
    <n v="0"/>
    <n v="0"/>
    <n v="0"/>
    <n v="0"/>
    <n v="0"/>
    <n v="0"/>
    <m/>
    <n v="63.6"/>
  </r>
  <r>
    <x v="302"/>
    <d v="2025-02-26T00:00:00"/>
    <x v="0"/>
    <x v="0"/>
    <x v="0"/>
    <x v="1"/>
    <x v="0"/>
    <n v="1"/>
    <n v="1"/>
    <n v="1"/>
    <n v="1"/>
    <n v="6788.95"/>
    <n v="0"/>
    <n v="0"/>
    <n v="17"/>
    <n v="58.4"/>
  </r>
  <r>
    <x v="303"/>
    <d v="2025-02-12T00:00:00"/>
    <x v="0"/>
    <x v="3"/>
    <x v="1"/>
    <x v="4"/>
    <x v="2"/>
    <n v="0"/>
    <n v="0"/>
    <n v="0"/>
    <n v="0"/>
    <n v="0"/>
    <n v="0"/>
    <n v="0"/>
    <m/>
    <n v="52.7"/>
  </r>
  <r>
    <x v="304"/>
    <d v="2025-01-05T00:00:00"/>
    <x v="0"/>
    <x v="3"/>
    <x v="2"/>
    <x v="4"/>
    <x v="2"/>
    <n v="1"/>
    <n v="1"/>
    <n v="1"/>
    <n v="0"/>
    <n v="0"/>
    <n v="2"/>
    <n v="0"/>
    <m/>
    <n v="48.9"/>
  </r>
  <r>
    <x v="305"/>
    <d v="2025-05-19T00:00:00"/>
    <x v="0"/>
    <x v="1"/>
    <x v="1"/>
    <x v="1"/>
    <x v="2"/>
    <n v="0"/>
    <n v="0"/>
    <n v="0"/>
    <n v="0"/>
    <n v="0"/>
    <n v="0"/>
    <n v="0"/>
    <m/>
    <n v="79.7"/>
  </r>
  <r>
    <x v="306"/>
    <d v="2025-02-02T00:00:00"/>
    <x v="0"/>
    <x v="0"/>
    <x v="1"/>
    <x v="4"/>
    <x v="1"/>
    <n v="1"/>
    <n v="0"/>
    <n v="0"/>
    <n v="0"/>
    <n v="0"/>
    <n v="0"/>
    <n v="0"/>
    <m/>
    <n v="44.9"/>
  </r>
  <r>
    <x v="307"/>
    <d v="2025-01-30T00:00:00"/>
    <x v="0"/>
    <x v="1"/>
    <x v="2"/>
    <x v="2"/>
    <x v="1"/>
    <n v="1"/>
    <n v="1"/>
    <n v="1"/>
    <n v="1"/>
    <n v="409.39"/>
    <n v="0"/>
    <n v="0"/>
    <n v="10"/>
    <n v="38.799999999999997"/>
  </r>
  <r>
    <x v="308"/>
    <d v="2025-05-01T00:00:00"/>
    <x v="0"/>
    <x v="3"/>
    <x v="0"/>
    <x v="0"/>
    <x v="1"/>
    <n v="0"/>
    <n v="0"/>
    <n v="0"/>
    <n v="0"/>
    <n v="0"/>
    <n v="0"/>
    <n v="0"/>
    <m/>
    <n v="70"/>
  </r>
  <r>
    <x v="309"/>
    <d v="2025-05-16T00:00:00"/>
    <x v="0"/>
    <x v="3"/>
    <x v="0"/>
    <x v="3"/>
    <x v="0"/>
    <n v="1"/>
    <n v="0"/>
    <n v="0"/>
    <n v="0"/>
    <n v="0"/>
    <n v="0"/>
    <n v="0"/>
    <m/>
    <n v="77.7"/>
  </r>
  <r>
    <x v="310"/>
    <d v="2025-03-08T00:00:00"/>
    <x v="0"/>
    <x v="1"/>
    <x v="1"/>
    <x v="1"/>
    <x v="1"/>
    <n v="0"/>
    <n v="0"/>
    <n v="0"/>
    <n v="0"/>
    <n v="0"/>
    <n v="0"/>
    <n v="0"/>
    <m/>
    <n v="71.2"/>
  </r>
  <r>
    <x v="311"/>
    <d v="2025-04-04T00:00:00"/>
    <x v="0"/>
    <x v="0"/>
    <x v="1"/>
    <x v="1"/>
    <x v="0"/>
    <n v="1"/>
    <n v="0"/>
    <n v="0"/>
    <n v="0"/>
    <n v="0"/>
    <n v="0"/>
    <n v="0"/>
    <m/>
    <n v="43.8"/>
  </r>
  <r>
    <x v="312"/>
    <d v="2025-05-30T00:00:00"/>
    <x v="0"/>
    <x v="3"/>
    <x v="2"/>
    <x v="1"/>
    <x v="1"/>
    <n v="1"/>
    <n v="0"/>
    <n v="0"/>
    <n v="0"/>
    <n v="0"/>
    <n v="0"/>
    <n v="0"/>
    <m/>
    <n v="50.9"/>
  </r>
  <r>
    <x v="313"/>
    <d v="2025-01-05T00:00:00"/>
    <x v="0"/>
    <x v="1"/>
    <x v="1"/>
    <x v="1"/>
    <x v="2"/>
    <n v="0"/>
    <n v="0"/>
    <n v="0"/>
    <n v="0"/>
    <n v="0"/>
    <n v="0"/>
    <n v="0"/>
    <m/>
    <n v="58.5"/>
  </r>
  <r>
    <x v="314"/>
    <d v="2025-01-20T00:00:00"/>
    <x v="0"/>
    <x v="2"/>
    <x v="1"/>
    <x v="1"/>
    <x v="1"/>
    <n v="1"/>
    <n v="1"/>
    <n v="1"/>
    <n v="0"/>
    <n v="0"/>
    <n v="0"/>
    <n v="0"/>
    <m/>
    <n v="53.6"/>
  </r>
  <r>
    <x v="315"/>
    <d v="2025-05-01T00:00:00"/>
    <x v="0"/>
    <x v="2"/>
    <x v="1"/>
    <x v="0"/>
    <x v="1"/>
    <n v="0"/>
    <n v="0"/>
    <n v="0"/>
    <n v="0"/>
    <n v="0"/>
    <n v="0"/>
    <n v="0"/>
    <m/>
    <n v="54.9"/>
  </r>
  <r>
    <x v="316"/>
    <d v="2025-03-05T00:00:00"/>
    <x v="0"/>
    <x v="0"/>
    <x v="0"/>
    <x v="1"/>
    <x v="2"/>
    <n v="0"/>
    <n v="0"/>
    <n v="0"/>
    <n v="0"/>
    <n v="0"/>
    <n v="0"/>
    <n v="0"/>
    <m/>
    <n v="57.3"/>
  </r>
  <r>
    <x v="317"/>
    <d v="2025-04-01T00:00:00"/>
    <x v="0"/>
    <x v="2"/>
    <x v="0"/>
    <x v="3"/>
    <x v="1"/>
    <n v="1"/>
    <n v="0"/>
    <n v="0"/>
    <n v="0"/>
    <n v="0"/>
    <n v="0"/>
    <n v="0"/>
    <m/>
    <n v="52.1"/>
  </r>
  <r>
    <x v="318"/>
    <d v="2025-05-03T00:00:00"/>
    <x v="0"/>
    <x v="0"/>
    <x v="1"/>
    <x v="1"/>
    <x v="1"/>
    <n v="1"/>
    <n v="0"/>
    <n v="0"/>
    <n v="0"/>
    <n v="0"/>
    <n v="0"/>
    <n v="0"/>
    <m/>
    <n v="80"/>
  </r>
  <r>
    <x v="319"/>
    <d v="2025-03-06T00:00:00"/>
    <x v="0"/>
    <x v="3"/>
    <x v="0"/>
    <x v="2"/>
    <x v="2"/>
    <n v="1"/>
    <n v="0"/>
    <n v="0"/>
    <n v="0"/>
    <n v="0"/>
    <n v="0"/>
    <n v="0"/>
    <m/>
    <n v="39.299999999999997"/>
  </r>
  <r>
    <x v="320"/>
    <d v="2025-04-01T00:00:00"/>
    <x v="0"/>
    <x v="0"/>
    <x v="0"/>
    <x v="3"/>
    <x v="2"/>
    <n v="0"/>
    <n v="0"/>
    <n v="0"/>
    <n v="0"/>
    <n v="0"/>
    <n v="0"/>
    <n v="0"/>
    <m/>
    <n v="45.7"/>
  </r>
  <r>
    <x v="321"/>
    <d v="2025-02-09T00:00:00"/>
    <x v="0"/>
    <x v="0"/>
    <x v="0"/>
    <x v="4"/>
    <x v="0"/>
    <n v="1"/>
    <n v="0"/>
    <n v="0"/>
    <n v="0"/>
    <n v="0"/>
    <n v="2"/>
    <n v="0"/>
    <m/>
    <n v="61.2"/>
  </r>
  <r>
    <x v="322"/>
    <d v="2025-04-12T00:00:00"/>
    <x v="0"/>
    <x v="1"/>
    <x v="1"/>
    <x v="1"/>
    <x v="0"/>
    <n v="1"/>
    <n v="1"/>
    <n v="0"/>
    <n v="0"/>
    <n v="0"/>
    <n v="0"/>
    <n v="0"/>
    <m/>
    <n v="66.2"/>
  </r>
  <r>
    <x v="323"/>
    <d v="2025-03-18T00:00:00"/>
    <x v="0"/>
    <x v="2"/>
    <x v="1"/>
    <x v="4"/>
    <x v="1"/>
    <n v="1"/>
    <n v="1"/>
    <n v="1"/>
    <n v="0"/>
    <n v="0"/>
    <n v="0"/>
    <n v="0"/>
    <m/>
    <n v="61.3"/>
  </r>
  <r>
    <x v="324"/>
    <d v="2025-04-03T00:00:00"/>
    <x v="0"/>
    <x v="2"/>
    <x v="1"/>
    <x v="2"/>
    <x v="1"/>
    <n v="1"/>
    <n v="0"/>
    <n v="0"/>
    <n v="0"/>
    <n v="0"/>
    <n v="0"/>
    <n v="0"/>
    <m/>
    <n v="72.2"/>
  </r>
  <r>
    <x v="325"/>
    <d v="2025-04-02T00:00:00"/>
    <x v="0"/>
    <x v="1"/>
    <x v="1"/>
    <x v="0"/>
    <x v="2"/>
    <n v="1"/>
    <n v="1"/>
    <n v="1"/>
    <n v="0"/>
    <n v="0"/>
    <n v="0"/>
    <n v="0"/>
    <m/>
    <n v="84"/>
  </r>
  <r>
    <x v="326"/>
    <d v="2025-05-10T00:00:00"/>
    <x v="0"/>
    <x v="1"/>
    <x v="0"/>
    <x v="0"/>
    <x v="0"/>
    <n v="0"/>
    <n v="0"/>
    <n v="0"/>
    <n v="0"/>
    <n v="0"/>
    <n v="0"/>
    <n v="0"/>
    <m/>
    <n v="59.8"/>
  </r>
  <r>
    <x v="327"/>
    <d v="2025-04-29T00:00:00"/>
    <x v="0"/>
    <x v="1"/>
    <x v="0"/>
    <x v="2"/>
    <x v="1"/>
    <n v="1"/>
    <n v="0"/>
    <n v="0"/>
    <n v="0"/>
    <n v="0"/>
    <n v="0"/>
    <n v="0"/>
    <m/>
    <n v="64.900000000000006"/>
  </r>
  <r>
    <x v="328"/>
    <d v="2025-02-27T00:00:00"/>
    <x v="0"/>
    <x v="3"/>
    <x v="1"/>
    <x v="2"/>
    <x v="1"/>
    <n v="1"/>
    <n v="0"/>
    <n v="0"/>
    <n v="0"/>
    <n v="0"/>
    <n v="0"/>
    <n v="0"/>
    <m/>
    <n v="66.8"/>
  </r>
  <r>
    <x v="329"/>
    <d v="2025-04-10T00:00:00"/>
    <x v="0"/>
    <x v="0"/>
    <x v="0"/>
    <x v="1"/>
    <x v="2"/>
    <n v="0"/>
    <n v="0"/>
    <n v="0"/>
    <n v="0"/>
    <n v="0"/>
    <n v="0"/>
    <n v="0"/>
    <m/>
    <n v="70.900000000000006"/>
  </r>
  <r>
    <x v="330"/>
    <d v="2025-02-13T00:00:00"/>
    <x v="0"/>
    <x v="2"/>
    <x v="1"/>
    <x v="1"/>
    <x v="1"/>
    <n v="1"/>
    <n v="1"/>
    <n v="1"/>
    <n v="1"/>
    <n v="426.82"/>
    <n v="1"/>
    <n v="0"/>
    <n v="14"/>
    <n v="68.8"/>
  </r>
  <r>
    <x v="331"/>
    <d v="2025-05-03T00:00:00"/>
    <x v="0"/>
    <x v="0"/>
    <x v="1"/>
    <x v="1"/>
    <x v="0"/>
    <n v="1"/>
    <n v="0"/>
    <n v="0"/>
    <n v="0"/>
    <n v="0"/>
    <n v="0"/>
    <n v="0"/>
    <m/>
    <n v="72.400000000000006"/>
  </r>
  <r>
    <x v="332"/>
    <d v="2025-03-10T00:00:00"/>
    <x v="0"/>
    <x v="2"/>
    <x v="1"/>
    <x v="1"/>
    <x v="0"/>
    <n v="0"/>
    <n v="0"/>
    <n v="0"/>
    <n v="0"/>
    <n v="0"/>
    <n v="0"/>
    <n v="0"/>
    <m/>
    <n v="63.3"/>
  </r>
  <r>
    <x v="333"/>
    <d v="2025-01-10T00:00:00"/>
    <x v="0"/>
    <x v="1"/>
    <x v="2"/>
    <x v="4"/>
    <x v="1"/>
    <n v="1"/>
    <n v="0"/>
    <n v="0"/>
    <n v="0"/>
    <n v="0"/>
    <n v="0"/>
    <n v="0"/>
    <m/>
    <n v="30.8"/>
  </r>
  <r>
    <x v="334"/>
    <d v="2025-01-16T00:00:00"/>
    <x v="0"/>
    <x v="3"/>
    <x v="1"/>
    <x v="0"/>
    <x v="0"/>
    <n v="1"/>
    <n v="1"/>
    <n v="1"/>
    <n v="1"/>
    <n v="874.55"/>
    <n v="0"/>
    <n v="0"/>
    <n v="9"/>
    <n v="44.2"/>
  </r>
  <r>
    <x v="335"/>
    <d v="2025-02-11T00:00:00"/>
    <x v="0"/>
    <x v="3"/>
    <x v="0"/>
    <x v="1"/>
    <x v="2"/>
    <n v="1"/>
    <n v="1"/>
    <n v="1"/>
    <n v="1"/>
    <n v="2206.88"/>
    <n v="0"/>
    <n v="0"/>
    <n v="10"/>
    <n v="56.2"/>
  </r>
  <r>
    <x v="336"/>
    <d v="2025-04-13T00:00:00"/>
    <x v="0"/>
    <x v="1"/>
    <x v="1"/>
    <x v="1"/>
    <x v="1"/>
    <n v="0"/>
    <n v="0"/>
    <n v="0"/>
    <n v="0"/>
    <n v="0"/>
    <n v="0"/>
    <n v="0"/>
    <m/>
    <n v="40.4"/>
  </r>
  <r>
    <x v="337"/>
    <d v="2025-02-08T00:00:00"/>
    <x v="0"/>
    <x v="2"/>
    <x v="1"/>
    <x v="2"/>
    <x v="1"/>
    <n v="1"/>
    <n v="1"/>
    <n v="1"/>
    <n v="0"/>
    <n v="0"/>
    <n v="0"/>
    <n v="0"/>
    <m/>
    <n v="68.099999999999994"/>
  </r>
  <r>
    <x v="338"/>
    <d v="2025-03-31T00:00:00"/>
    <x v="0"/>
    <x v="1"/>
    <x v="0"/>
    <x v="3"/>
    <x v="1"/>
    <n v="1"/>
    <n v="0"/>
    <n v="0"/>
    <n v="0"/>
    <n v="0"/>
    <n v="0"/>
    <n v="0"/>
    <m/>
    <n v="86.3"/>
  </r>
  <r>
    <x v="339"/>
    <d v="2025-01-31T00:00:00"/>
    <x v="0"/>
    <x v="1"/>
    <x v="0"/>
    <x v="3"/>
    <x v="1"/>
    <n v="1"/>
    <n v="1"/>
    <n v="0"/>
    <n v="0"/>
    <n v="0"/>
    <n v="0"/>
    <n v="0"/>
    <m/>
    <n v="42.9"/>
  </r>
  <r>
    <x v="340"/>
    <d v="2025-05-08T00:00:00"/>
    <x v="0"/>
    <x v="1"/>
    <x v="2"/>
    <x v="1"/>
    <x v="1"/>
    <n v="0"/>
    <n v="0"/>
    <n v="0"/>
    <n v="0"/>
    <n v="0"/>
    <n v="0"/>
    <n v="0"/>
    <m/>
    <n v="61.4"/>
  </r>
  <r>
    <x v="341"/>
    <d v="2025-03-15T00:00:00"/>
    <x v="0"/>
    <x v="0"/>
    <x v="1"/>
    <x v="2"/>
    <x v="1"/>
    <n v="1"/>
    <n v="0"/>
    <n v="0"/>
    <n v="0"/>
    <n v="0"/>
    <n v="1"/>
    <n v="0"/>
    <m/>
    <n v="73.3"/>
  </r>
  <r>
    <x v="342"/>
    <d v="2025-01-13T00:00:00"/>
    <x v="0"/>
    <x v="3"/>
    <x v="1"/>
    <x v="3"/>
    <x v="0"/>
    <n v="1"/>
    <n v="0"/>
    <n v="0"/>
    <n v="0"/>
    <n v="0"/>
    <n v="0"/>
    <n v="0"/>
    <m/>
    <n v="59.4"/>
  </r>
  <r>
    <x v="343"/>
    <d v="2025-03-07T00:00:00"/>
    <x v="0"/>
    <x v="3"/>
    <x v="2"/>
    <x v="1"/>
    <x v="0"/>
    <n v="1"/>
    <n v="0"/>
    <n v="0"/>
    <n v="0"/>
    <n v="0"/>
    <n v="0"/>
    <n v="0"/>
    <m/>
    <n v="35.200000000000003"/>
  </r>
  <r>
    <x v="344"/>
    <d v="2025-02-10T00:00:00"/>
    <x v="0"/>
    <x v="3"/>
    <x v="1"/>
    <x v="4"/>
    <x v="2"/>
    <n v="1"/>
    <n v="1"/>
    <n v="0"/>
    <n v="0"/>
    <n v="0"/>
    <n v="0"/>
    <n v="0"/>
    <m/>
    <n v="55.3"/>
  </r>
  <r>
    <x v="345"/>
    <d v="2025-03-12T00:00:00"/>
    <x v="0"/>
    <x v="2"/>
    <x v="1"/>
    <x v="2"/>
    <x v="1"/>
    <n v="0"/>
    <n v="0"/>
    <n v="0"/>
    <n v="0"/>
    <n v="0"/>
    <n v="0"/>
    <n v="0"/>
    <m/>
    <n v="37.5"/>
  </r>
  <r>
    <x v="346"/>
    <d v="2025-01-03T00:00:00"/>
    <x v="0"/>
    <x v="3"/>
    <x v="0"/>
    <x v="2"/>
    <x v="1"/>
    <n v="0"/>
    <n v="0"/>
    <n v="0"/>
    <n v="0"/>
    <n v="0"/>
    <n v="1"/>
    <n v="0"/>
    <m/>
    <n v="66.400000000000006"/>
  </r>
  <r>
    <x v="347"/>
    <d v="2025-04-28T00:00:00"/>
    <x v="0"/>
    <x v="0"/>
    <x v="2"/>
    <x v="4"/>
    <x v="0"/>
    <n v="1"/>
    <n v="0"/>
    <n v="0"/>
    <n v="0"/>
    <n v="0"/>
    <n v="0"/>
    <n v="0"/>
    <m/>
    <n v="61.9"/>
  </r>
  <r>
    <x v="348"/>
    <d v="2025-04-17T00:00:00"/>
    <x v="0"/>
    <x v="2"/>
    <x v="1"/>
    <x v="1"/>
    <x v="1"/>
    <n v="0"/>
    <n v="0"/>
    <n v="0"/>
    <n v="0"/>
    <n v="0"/>
    <n v="0"/>
    <n v="0"/>
    <m/>
    <n v="56"/>
  </r>
  <r>
    <x v="349"/>
    <d v="2025-05-23T00:00:00"/>
    <x v="0"/>
    <x v="3"/>
    <x v="0"/>
    <x v="4"/>
    <x v="0"/>
    <n v="1"/>
    <n v="0"/>
    <n v="0"/>
    <n v="0"/>
    <n v="0"/>
    <n v="0"/>
    <n v="0"/>
    <m/>
    <n v="55.5"/>
  </r>
  <r>
    <x v="350"/>
    <d v="2025-02-19T00:00:00"/>
    <x v="0"/>
    <x v="1"/>
    <x v="2"/>
    <x v="3"/>
    <x v="0"/>
    <n v="1"/>
    <n v="0"/>
    <n v="0"/>
    <n v="0"/>
    <n v="0"/>
    <n v="0"/>
    <n v="0"/>
    <m/>
    <n v="37.200000000000003"/>
  </r>
  <r>
    <x v="351"/>
    <d v="2025-01-18T00:00:00"/>
    <x v="0"/>
    <x v="3"/>
    <x v="0"/>
    <x v="1"/>
    <x v="1"/>
    <n v="1"/>
    <n v="1"/>
    <n v="0"/>
    <n v="0"/>
    <n v="0"/>
    <n v="1"/>
    <n v="0"/>
    <m/>
    <n v="70.5"/>
  </r>
  <r>
    <x v="352"/>
    <d v="2025-04-17T00:00:00"/>
    <x v="0"/>
    <x v="0"/>
    <x v="1"/>
    <x v="1"/>
    <x v="1"/>
    <n v="0"/>
    <n v="0"/>
    <n v="0"/>
    <n v="0"/>
    <n v="0"/>
    <n v="0"/>
    <n v="0"/>
    <m/>
    <n v="61.2"/>
  </r>
  <r>
    <x v="353"/>
    <d v="2025-04-12T00:00:00"/>
    <x v="0"/>
    <x v="2"/>
    <x v="2"/>
    <x v="4"/>
    <x v="1"/>
    <n v="1"/>
    <n v="1"/>
    <n v="1"/>
    <n v="0"/>
    <n v="0"/>
    <n v="0"/>
    <n v="0"/>
    <m/>
    <n v="64.599999999999994"/>
  </r>
  <r>
    <x v="354"/>
    <d v="2025-05-16T00:00:00"/>
    <x v="0"/>
    <x v="2"/>
    <x v="1"/>
    <x v="0"/>
    <x v="1"/>
    <n v="1"/>
    <n v="1"/>
    <n v="0"/>
    <n v="0"/>
    <n v="0"/>
    <n v="0"/>
    <n v="0"/>
    <m/>
    <n v="91.7"/>
  </r>
  <r>
    <x v="355"/>
    <d v="2025-03-24T00:00:00"/>
    <x v="0"/>
    <x v="1"/>
    <x v="1"/>
    <x v="4"/>
    <x v="1"/>
    <n v="0"/>
    <n v="0"/>
    <n v="0"/>
    <n v="0"/>
    <n v="0"/>
    <n v="0"/>
    <n v="0"/>
    <m/>
    <n v="46"/>
  </r>
  <r>
    <x v="356"/>
    <d v="2025-02-16T00:00:00"/>
    <x v="0"/>
    <x v="1"/>
    <x v="1"/>
    <x v="1"/>
    <x v="0"/>
    <n v="0"/>
    <n v="0"/>
    <n v="0"/>
    <n v="0"/>
    <n v="0"/>
    <n v="0"/>
    <n v="0"/>
    <m/>
    <n v="50.8"/>
  </r>
  <r>
    <x v="357"/>
    <d v="2025-03-19T00:00:00"/>
    <x v="0"/>
    <x v="0"/>
    <x v="2"/>
    <x v="1"/>
    <x v="1"/>
    <n v="1"/>
    <n v="1"/>
    <n v="1"/>
    <n v="0"/>
    <n v="0"/>
    <n v="0"/>
    <n v="0"/>
    <m/>
    <n v="52.8"/>
  </r>
  <r>
    <x v="358"/>
    <d v="2025-04-21T00:00:00"/>
    <x v="0"/>
    <x v="3"/>
    <x v="1"/>
    <x v="1"/>
    <x v="0"/>
    <n v="1"/>
    <n v="1"/>
    <n v="1"/>
    <n v="0"/>
    <n v="0"/>
    <n v="0"/>
    <n v="0"/>
    <m/>
    <n v="63"/>
  </r>
  <r>
    <x v="359"/>
    <d v="2025-01-11T00:00:00"/>
    <x v="0"/>
    <x v="1"/>
    <x v="1"/>
    <x v="1"/>
    <x v="1"/>
    <n v="0"/>
    <n v="0"/>
    <n v="0"/>
    <n v="0"/>
    <n v="0"/>
    <n v="0"/>
    <n v="0"/>
    <m/>
    <n v="28.4"/>
  </r>
  <r>
    <x v="360"/>
    <d v="2025-04-24T00:00:00"/>
    <x v="0"/>
    <x v="1"/>
    <x v="0"/>
    <x v="1"/>
    <x v="1"/>
    <n v="1"/>
    <n v="1"/>
    <n v="0"/>
    <n v="0"/>
    <n v="0"/>
    <n v="0"/>
    <n v="0"/>
    <m/>
    <n v="65.599999999999994"/>
  </r>
  <r>
    <x v="361"/>
    <d v="2025-03-13T00:00:00"/>
    <x v="0"/>
    <x v="0"/>
    <x v="1"/>
    <x v="4"/>
    <x v="2"/>
    <n v="1"/>
    <n v="1"/>
    <n v="1"/>
    <n v="0"/>
    <n v="0"/>
    <n v="0"/>
    <n v="0"/>
    <m/>
    <n v="54.7"/>
  </r>
  <r>
    <x v="362"/>
    <d v="2025-01-30T00:00:00"/>
    <x v="0"/>
    <x v="0"/>
    <x v="1"/>
    <x v="4"/>
    <x v="0"/>
    <n v="0"/>
    <n v="0"/>
    <n v="0"/>
    <n v="0"/>
    <n v="0"/>
    <n v="0"/>
    <n v="0"/>
    <m/>
    <n v="36.1"/>
  </r>
  <r>
    <x v="363"/>
    <d v="2025-05-08T00:00:00"/>
    <x v="0"/>
    <x v="3"/>
    <x v="1"/>
    <x v="4"/>
    <x v="0"/>
    <n v="1"/>
    <n v="1"/>
    <n v="1"/>
    <n v="0"/>
    <n v="0"/>
    <n v="0"/>
    <n v="0"/>
    <m/>
    <n v="70.400000000000006"/>
  </r>
  <r>
    <x v="364"/>
    <d v="2025-01-08T00:00:00"/>
    <x v="0"/>
    <x v="2"/>
    <x v="0"/>
    <x v="4"/>
    <x v="1"/>
    <n v="1"/>
    <n v="0"/>
    <n v="0"/>
    <n v="0"/>
    <n v="0"/>
    <n v="0"/>
    <n v="0"/>
    <m/>
    <n v="56.4"/>
  </r>
  <r>
    <x v="365"/>
    <d v="2025-05-03T00:00:00"/>
    <x v="0"/>
    <x v="3"/>
    <x v="1"/>
    <x v="1"/>
    <x v="1"/>
    <n v="1"/>
    <n v="0"/>
    <n v="0"/>
    <n v="0"/>
    <n v="0"/>
    <n v="0"/>
    <n v="0"/>
    <m/>
    <n v="79.2"/>
  </r>
  <r>
    <x v="366"/>
    <d v="2025-02-12T00:00:00"/>
    <x v="0"/>
    <x v="2"/>
    <x v="1"/>
    <x v="2"/>
    <x v="1"/>
    <n v="1"/>
    <n v="1"/>
    <n v="1"/>
    <n v="0"/>
    <n v="0"/>
    <n v="0"/>
    <n v="0"/>
    <m/>
    <n v="60.1"/>
  </r>
  <r>
    <x v="367"/>
    <d v="2025-02-25T00:00:00"/>
    <x v="0"/>
    <x v="3"/>
    <x v="2"/>
    <x v="1"/>
    <x v="1"/>
    <n v="0"/>
    <n v="0"/>
    <n v="0"/>
    <n v="0"/>
    <n v="0"/>
    <n v="0"/>
    <n v="0"/>
    <m/>
    <n v="58"/>
  </r>
  <r>
    <x v="368"/>
    <d v="2025-04-14T00:00:00"/>
    <x v="0"/>
    <x v="3"/>
    <x v="1"/>
    <x v="3"/>
    <x v="1"/>
    <n v="1"/>
    <n v="1"/>
    <n v="1"/>
    <n v="0"/>
    <n v="0"/>
    <n v="0"/>
    <n v="0"/>
    <m/>
    <n v="69"/>
  </r>
  <r>
    <x v="369"/>
    <d v="2025-01-08T00:00:00"/>
    <x v="0"/>
    <x v="0"/>
    <x v="1"/>
    <x v="3"/>
    <x v="2"/>
    <n v="1"/>
    <n v="1"/>
    <n v="1"/>
    <n v="0"/>
    <n v="0"/>
    <n v="1"/>
    <n v="0"/>
    <m/>
    <n v="80.8"/>
  </r>
  <r>
    <x v="370"/>
    <d v="2025-03-14T00:00:00"/>
    <x v="0"/>
    <x v="2"/>
    <x v="1"/>
    <x v="0"/>
    <x v="1"/>
    <n v="0"/>
    <n v="0"/>
    <n v="0"/>
    <n v="0"/>
    <n v="0"/>
    <n v="0"/>
    <n v="0"/>
    <m/>
    <n v="32.799999999999997"/>
  </r>
  <r>
    <x v="371"/>
    <d v="2025-04-29T00:00:00"/>
    <x v="0"/>
    <x v="0"/>
    <x v="0"/>
    <x v="2"/>
    <x v="2"/>
    <n v="1"/>
    <n v="0"/>
    <n v="0"/>
    <n v="0"/>
    <n v="0"/>
    <n v="0"/>
    <n v="0"/>
    <m/>
    <n v="56"/>
  </r>
  <r>
    <x v="372"/>
    <d v="2025-05-01T00:00:00"/>
    <x v="0"/>
    <x v="2"/>
    <x v="0"/>
    <x v="4"/>
    <x v="1"/>
    <n v="1"/>
    <n v="0"/>
    <n v="0"/>
    <n v="0"/>
    <n v="0"/>
    <n v="0"/>
    <n v="0"/>
    <m/>
    <n v="76.400000000000006"/>
  </r>
  <r>
    <x v="373"/>
    <d v="2025-03-19T00:00:00"/>
    <x v="0"/>
    <x v="0"/>
    <x v="1"/>
    <x v="3"/>
    <x v="1"/>
    <n v="1"/>
    <n v="0"/>
    <n v="0"/>
    <n v="0"/>
    <n v="0"/>
    <n v="0"/>
    <n v="0"/>
    <m/>
    <n v="28.5"/>
  </r>
  <r>
    <x v="374"/>
    <d v="2025-05-01T00:00:00"/>
    <x v="0"/>
    <x v="3"/>
    <x v="0"/>
    <x v="4"/>
    <x v="0"/>
    <n v="1"/>
    <n v="1"/>
    <n v="1"/>
    <n v="0"/>
    <n v="0"/>
    <n v="0"/>
    <n v="0"/>
    <m/>
    <n v="48.3"/>
  </r>
  <r>
    <x v="375"/>
    <d v="2025-03-14T00:00:00"/>
    <x v="0"/>
    <x v="1"/>
    <x v="1"/>
    <x v="1"/>
    <x v="1"/>
    <n v="1"/>
    <n v="1"/>
    <n v="0"/>
    <n v="0"/>
    <n v="0"/>
    <n v="0"/>
    <n v="0"/>
    <m/>
    <n v="43.4"/>
  </r>
  <r>
    <x v="376"/>
    <d v="2025-03-23T00:00:00"/>
    <x v="0"/>
    <x v="0"/>
    <x v="1"/>
    <x v="2"/>
    <x v="1"/>
    <n v="0"/>
    <n v="0"/>
    <n v="0"/>
    <n v="0"/>
    <n v="0"/>
    <n v="0"/>
    <n v="0"/>
    <m/>
    <n v="43"/>
  </r>
  <r>
    <x v="377"/>
    <d v="2025-02-08T00:00:00"/>
    <x v="0"/>
    <x v="2"/>
    <x v="1"/>
    <x v="3"/>
    <x v="0"/>
    <n v="1"/>
    <n v="1"/>
    <n v="1"/>
    <n v="0"/>
    <n v="0"/>
    <n v="0"/>
    <n v="0"/>
    <m/>
    <n v="91.8"/>
  </r>
  <r>
    <x v="378"/>
    <d v="2025-04-15T00:00:00"/>
    <x v="0"/>
    <x v="1"/>
    <x v="2"/>
    <x v="2"/>
    <x v="0"/>
    <n v="1"/>
    <n v="0"/>
    <n v="0"/>
    <n v="0"/>
    <n v="0"/>
    <n v="1"/>
    <n v="0"/>
    <m/>
    <n v="69.3"/>
  </r>
  <r>
    <x v="379"/>
    <d v="2025-01-03T00:00:00"/>
    <x v="0"/>
    <x v="3"/>
    <x v="0"/>
    <x v="2"/>
    <x v="0"/>
    <n v="1"/>
    <n v="0"/>
    <n v="0"/>
    <n v="0"/>
    <n v="0"/>
    <n v="0"/>
    <n v="0"/>
    <m/>
    <n v="58.9"/>
  </r>
  <r>
    <x v="380"/>
    <d v="2025-03-23T00:00:00"/>
    <x v="0"/>
    <x v="1"/>
    <x v="1"/>
    <x v="4"/>
    <x v="1"/>
    <n v="1"/>
    <n v="1"/>
    <n v="1"/>
    <n v="0"/>
    <n v="0"/>
    <n v="0"/>
    <n v="0"/>
    <m/>
    <n v="76"/>
  </r>
  <r>
    <x v="381"/>
    <d v="2025-05-27T00:00:00"/>
    <x v="0"/>
    <x v="3"/>
    <x v="1"/>
    <x v="3"/>
    <x v="2"/>
    <n v="1"/>
    <n v="0"/>
    <n v="0"/>
    <n v="0"/>
    <n v="0"/>
    <n v="0"/>
    <n v="0"/>
    <m/>
    <n v="46"/>
  </r>
  <r>
    <x v="382"/>
    <d v="2025-04-30T00:00:00"/>
    <x v="0"/>
    <x v="2"/>
    <x v="1"/>
    <x v="1"/>
    <x v="1"/>
    <n v="1"/>
    <n v="0"/>
    <n v="0"/>
    <n v="0"/>
    <n v="0"/>
    <n v="0"/>
    <n v="0"/>
    <m/>
    <n v="54.1"/>
  </r>
  <r>
    <x v="383"/>
    <d v="2025-03-07T00:00:00"/>
    <x v="0"/>
    <x v="1"/>
    <x v="1"/>
    <x v="4"/>
    <x v="0"/>
    <n v="1"/>
    <n v="0"/>
    <n v="0"/>
    <n v="0"/>
    <n v="0"/>
    <n v="0"/>
    <n v="0"/>
    <m/>
    <n v="82.4"/>
  </r>
  <r>
    <x v="384"/>
    <d v="2025-05-10T00:00:00"/>
    <x v="0"/>
    <x v="3"/>
    <x v="1"/>
    <x v="1"/>
    <x v="0"/>
    <n v="1"/>
    <n v="1"/>
    <n v="1"/>
    <n v="0"/>
    <n v="0"/>
    <n v="0"/>
    <n v="0"/>
    <m/>
    <n v="71.900000000000006"/>
  </r>
  <r>
    <x v="385"/>
    <d v="2025-05-22T00:00:00"/>
    <x v="0"/>
    <x v="2"/>
    <x v="1"/>
    <x v="1"/>
    <x v="1"/>
    <n v="0"/>
    <n v="0"/>
    <n v="0"/>
    <n v="0"/>
    <n v="0"/>
    <n v="2"/>
    <n v="0"/>
    <m/>
    <n v="38"/>
  </r>
  <r>
    <x v="386"/>
    <d v="2025-02-09T00:00:00"/>
    <x v="0"/>
    <x v="2"/>
    <x v="1"/>
    <x v="2"/>
    <x v="1"/>
    <n v="1"/>
    <n v="1"/>
    <n v="0"/>
    <n v="0"/>
    <n v="0"/>
    <n v="0"/>
    <n v="0"/>
    <m/>
    <n v="43.7"/>
  </r>
  <r>
    <x v="387"/>
    <d v="2025-05-30T00:00:00"/>
    <x v="0"/>
    <x v="1"/>
    <x v="0"/>
    <x v="1"/>
    <x v="2"/>
    <n v="1"/>
    <n v="0"/>
    <n v="0"/>
    <n v="0"/>
    <n v="0"/>
    <n v="1"/>
    <n v="0"/>
    <m/>
    <n v="32.200000000000003"/>
  </r>
  <r>
    <x v="388"/>
    <d v="2025-05-01T00:00:00"/>
    <x v="0"/>
    <x v="3"/>
    <x v="1"/>
    <x v="1"/>
    <x v="2"/>
    <n v="1"/>
    <n v="0"/>
    <n v="0"/>
    <n v="0"/>
    <n v="0"/>
    <n v="0"/>
    <n v="0"/>
    <m/>
    <n v="61"/>
  </r>
  <r>
    <x v="389"/>
    <d v="2025-01-03T00:00:00"/>
    <x v="0"/>
    <x v="3"/>
    <x v="1"/>
    <x v="2"/>
    <x v="1"/>
    <n v="1"/>
    <n v="0"/>
    <n v="0"/>
    <n v="0"/>
    <n v="0"/>
    <n v="0"/>
    <n v="0"/>
    <m/>
    <n v="49"/>
  </r>
  <r>
    <x v="390"/>
    <d v="2025-02-13T00:00:00"/>
    <x v="0"/>
    <x v="2"/>
    <x v="1"/>
    <x v="1"/>
    <x v="1"/>
    <n v="0"/>
    <n v="0"/>
    <n v="0"/>
    <n v="0"/>
    <n v="0"/>
    <n v="0"/>
    <n v="0"/>
    <m/>
    <n v="48.1"/>
  </r>
  <r>
    <x v="391"/>
    <d v="2025-01-14T00:00:00"/>
    <x v="0"/>
    <x v="3"/>
    <x v="0"/>
    <x v="1"/>
    <x v="1"/>
    <n v="0"/>
    <n v="0"/>
    <n v="0"/>
    <n v="0"/>
    <n v="0"/>
    <n v="2"/>
    <n v="0"/>
    <m/>
    <n v="46.3"/>
  </r>
  <r>
    <x v="392"/>
    <d v="2025-02-24T00:00:00"/>
    <x v="0"/>
    <x v="0"/>
    <x v="1"/>
    <x v="3"/>
    <x v="1"/>
    <n v="0"/>
    <n v="0"/>
    <n v="0"/>
    <n v="0"/>
    <n v="0"/>
    <n v="0"/>
    <n v="0"/>
    <m/>
    <n v="64"/>
  </r>
  <r>
    <x v="393"/>
    <d v="2025-05-16T00:00:00"/>
    <x v="0"/>
    <x v="1"/>
    <x v="0"/>
    <x v="1"/>
    <x v="0"/>
    <n v="1"/>
    <n v="1"/>
    <n v="0"/>
    <n v="0"/>
    <n v="0"/>
    <n v="0"/>
    <n v="0"/>
    <m/>
    <n v="56.2"/>
  </r>
  <r>
    <x v="394"/>
    <d v="2025-04-29T00:00:00"/>
    <x v="0"/>
    <x v="0"/>
    <x v="1"/>
    <x v="2"/>
    <x v="1"/>
    <n v="1"/>
    <n v="1"/>
    <n v="1"/>
    <n v="0"/>
    <n v="0"/>
    <n v="0"/>
    <n v="0"/>
    <m/>
    <n v="77.5"/>
  </r>
  <r>
    <x v="395"/>
    <d v="2025-04-30T00:00:00"/>
    <x v="0"/>
    <x v="3"/>
    <x v="0"/>
    <x v="0"/>
    <x v="0"/>
    <n v="1"/>
    <n v="0"/>
    <n v="0"/>
    <n v="0"/>
    <n v="0"/>
    <n v="0"/>
    <n v="0"/>
    <m/>
    <n v="59.9"/>
  </r>
  <r>
    <x v="396"/>
    <d v="2025-01-09T00:00:00"/>
    <x v="0"/>
    <x v="3"/>
    <x v="0"/>
    <x v="1"/>
    <x v="1"/>
    <n v="1"/>
    <n v="1"/>
    <n v="0"/>
    <n v="0"/>
    <n v="0"/>
    <n v="0"/>
    <n v="0"/>
    <m/>
    <n v="63"/>
  </r>
  <r>
    <x v="397"/>
    <d v="2025-04-25T00:00:00"/>
    <x v="0"/>
    <x v="3"/>
    <x v="1"/>
    <x v="1"/>
    <x v="1"/>
    <n v="1"/>
    <n v="1"/>
    <n v="0"/>
    <n v="0"/>
    <n v="0"/>
    <n v="0"/>
    <n v="0"/>
    <m/>
    <n v="76.5"/>
  </r>
  <r>
    <x v="398"/>
    <d v="2025-03-12T00:00:00"/>
    <x v="0"/>
    <x v="0"/>
    <x v="0"/>
    <x v="2"/>
    <x v="1"/>
    <n v="1"/>
    <n v="0"/>
    <n v="0"/>
    <n v="0"/>
    <n v="0"/>
    <n v="0"/>
    <n v="0"/>
    <m/>
    <n v="39.700000000000003"/>
  </r>
  <r>
    <x v="399"/>
    <d v="2025-03-20T00:00:00"/>
    <x v="0"/>
    <x v="0"/>
    <x v="1"/>
    <x v="1"/>
    <x v="1"/>
    <n v="1"/>
    <n v="1"/>
    <n v="0"/>
    <n v="0"/>
    <n v="0"/>
    <n v="0"/>
    <n v="0"/>
    <m/>
    <n v="80.2"/>
  </r>
  <r>
    <x v="400"/>
    <d v="2025-02-18T00:00:00"/>
    <x v="0"/>
    <x v="1"/>
    <x v="1"/>
    <x v="2"/>
    <x v="1"/>
    <n v="1"/>
    <n v="0"/>
    <n v="0"/>
    <n v="0"/>
    <n v="0"/>
    <n v="0"/>
    <n v="0"/>
    <m/>
    <n v="72.2"/>
  </r>
  <r>
    <x v="401"/>
    <d v="2025-01-22T00:00:00"/>
    <x v="0"/>
    <x v="0"/>
    <x v="1"/>
    <x v="4"/>
    <x v="0"/>
    <n v="0"/>
    <n v="0"/>
    <n v="0"/>
    <n v="0"/>
    <n v="0"/>
    <n v="0"/>
    <n v="0"/>
    <m/>
    <n v="56"/>
  </r>
  <r>
    <x v="402"/>
    <d v="2025-02-08T00:00:00"/>
    <x v="0"/>
    <x v="1"/>
    <x v="1"/>
    <x v="0"/>
    <x v="0"/>
    <n v="1"/>
    <n v="1"/>
    <n v="1"/>
    <n v="0"/>
    <n v="0"/>
    <n v="0"/>
    <n v="0"/>
    <m/>
    <n v="69.099999999999994"/>
  </r>
  <r>
    <x v="403"/>
    <d v="2025-01-20T00:00:00"/>
    <x v="0"/>
    <x v="0"/>
    <x v="1"/>
    <x v="0"/>
    <x v="2"/>
    <n v="0"/>
    <n v="0"/>
    <n v="0"/>
    <n v="0"/>
    <n v="0"/>
    <n v="1"/>
    <n v="0"/>
    <m/>
    <n v="70.599999999999994"/>
  </r>
  <r>
    <x v="404"/>
    <d v="2025-04-22T00:00:00"/>
    <x v="0"/>
    <x v="1"/>
    <x v="0"/>
    <x v="3"/>
    <x v="1"/>
    <n v="1"/>
    <n v="0"/>
    <n v="0"/>
    <n v="0"/>
    <n v="0"/>
    <n v="0"/>
    <n v="0"/>
    <m/>
    <n v="57.9"/>
  </r>
  <r>
    <x v="405"/>
    <d v="2025-01-22T00:00:00"/>
    <x v="0"/>
    <x v="2"/>
    <x v="1"/>
    <x v="1"/>
    <x v="0"/>
    <n v="1"/>
    <n v="1"/>
    <n v="0"/>
    <n v="0"/>
    <n v="0"/>
    <n v="0"/>
    <n v="0"/>
    <m/>
    <n v="41.4"/>
  </r>
  <r>
    <x v="406"/>
    <d v="2025-05-11T00:00:00"/>
    <x v="0"/>
    <x v="1"/>
    <x v="1"/>
    <x v="1"/>
    <x v="0"/>
    <n v="1"/>
    <n v="0"/>
    <n v="0"/>
    <n v="0"/>
    <n v="0"/>
    <n v="0"/>
    <n v="0"/>
    <m/>
    <n v="60.9"/>
  </r>
  <r>
    <x v="407"/>
    <d v="2025-02-06T00:00:00"/>
    <x v="0"/>
    <x v="3"/>
    <x v="1"/>
    <x v="1"/>
    <x v="0"/>
    <n v="0"/>
    <n v="0"/>
    <n v="0"/>
    <n v="0"/>
    <n v="0"/>
    <n v="1"/>
    <n v="0"/>
    <m/>
    <n v="63.8"/>
  </r>
  <r>
    <x v="408"/>
    <d v="2025-02-21T00:00:00"/>
    <x v="0"/>
    <x v="0"/>
    <x v="0"/>
    <x v="1"/>
    <x v="2"/>
    <n v="1"/>
    <n v="0"/>
    <n v="0"/>
    <n v="0"/>
    <n v="0"/>
    <n v="0"/>
    <n v="0"/>
    <m/>
    <n v="79.2"/>
  </r>
  <r>
    <x v="409"/>
    <d v="2025-01-13T00:00:00"/>
    <x v="0"/>
    <x v="1"/>
    <x v="1"/>
    <x v="0"/>
    <x v="2"/>
    <n v="1"/>
    <n v="1"/>
    <n v="1"/>
    <n v="0"/>
    <n v="0"/>
    <n v="0"/>
    <n v="0"/>
    <m/>
    <n v="53.3"/>
  </r>
  <r>
    <x v="410"/>
    <d v="2025-03-07T00:00:00"/>
    <x v="0"/>
    <x v="0"/>
    <x v="1"/>
    <x v="3"/>
    <x v="2"/>
    <n v="1"/>
    <n v="1"/>
    <n v="1"/>
    <n v="1"/>
    <n v="2144.8200000000002"/>
    <n v="0"/>
    <n v="0"/>
    <n v="6"/>
    <n v="52.3"/>
  </r>
  <r>
    <x v="411"/>
    <d v="2025-02-26T00:00:00"/>
    <x v="0"/>
    <x v="1"/>
    <x v="0"/>
    <x v="1"/>
    <x v="0"/>
    <n v="1"/>
    <n v="1"/>
    <n v="0"/>
    <n v="0"/>
    <n v="0"/>
    <n v="0"/>
    <n v="0"/>
    <m/>
    <n v="62.4"/>
  </r>
  <r>
    <x v="412"/>
    <d v="2025-05-05T00:00:00"/>
    <x v="0"/>
    <x v="0"/>
    <x v="1"/>
    <x v="3"/>
    <x v="2"/>
    <n v="1"/>
    <n v="0"/>
    <n v="0"/>
    <n v="0"/>
    <n v="0"/>
    <n v="0"/>
    <n v="0"/>
    <m/>
    <n v="45.5"/>
  </r>
  <r>
    <x v="413"/>
    <d v="2025-01-08T00:00:00"/>
    <x v="0"/>
    <x v="2"/>
    <x v="0"/>
    <x v="1"/>
    <x v="0"/>
    <n v="0"/>
    <n v="0"/>
    <n v="0"/>
    <n v="0"/>
    <n v="0"/>
    <n v="1"/>
    <n v="0"/>
    <m/>
    <n v="72.599999999999994"/>
  </r>
  <r>
    <x v="414"/>
    <d v="2025-03-19T00:00:00"/>
    <x v="0"/>
    <x v="3"/>
    <x v="1"/>
    <x v="0"/>
    <x v="2"/>
    <n v="1"/>
    <n v="1"/>
    <n v="1"/>
    <n v="0"/>
    <n v="0"/>
    <n v="0"/>
    <n v="0"/>
    <m/>
    <n v="50.1"/>
  </r>
  <r>
    <x v="415"/>
    <d v="2025-01-30T00:00:00"/>
    <x v="0"/>
    <x v="2"/>
    <x v="0"/>
    <x v="2"/>
    <x v="1"/>
    <n v="1"/>
    <n v="1"/>
    <n v="1"/>
    <n v="0"/>
    <n v="0"/>
    <n v="2"/>
    <n v="0"/>
    <m/>
    <n v="58.1"/>
  </r>
  <r>
    <x v="416"/>
    <d v="2025-04-28T00:00:00"/>
    <x v="0"/>
    <x v="2"/>
    <x v="1"/>
    <x v="1"/>
    <x v="0"/>
    <n v="1"/>
    <n v="0"/>
    <n v="0"/>
    <n v="0"/>
    <n v="0"/>
    <n v="0"/>
    <n v="0"/>
    <m/>
    <n v="42.9"/>
  </r>
  <r>
    <x v="417"/>
    <d v="2025-03-07T00:00:00"/>
    <x v="0"/>
    <x v="0"/>
    <x v="1"/>
    <x v="3"/>
    <x v="0"/>
    <n v="0"/>
    <n v="0"/>
    <n v="0"/>
    <n v="0"/>
    <n v="0"/>
    <n v="0"/>
    <n v="0"/>
    <m/>
    <n v="69.7"/>
  </r>
  <r>
    <x v="418"/>
    <d v="2025-04-07T00:00:00"/>
    <x v="0"/>
    <x v="0"/>
    <x v="0"/>
    <x v="1"/>
    <x v="1"/>
    <n v="0"/>
    <n v="0"/>
    <n v="0"/>
    <n v="0"/>
    <n v="0"/>
    <n v="0"/>
    <n v="0"/>
    <m/>
    <n v="63.3"/>
  </r>
  <r>
    <x v="419"/>
    <d v="2025-05-08T00:00:00"/>
    <x v="0"/>
    <x v="0"/>
    <x v="0"/>
    <x v="1"/>
    <x v="2"/>
    <n v="1"/>
    <n v="0"/>
    <n v="0"/>
    <n v="0"/>
    <n v="0"/>
    <n v="0"/>
    <n v="0"/>
    <m/>
    <n v="71.2"/>
  </r>
  <r>
    <x v="420"/>
    <d v="2025-04-15T00:00:00"/>
    <x v="0"/>
    <x v="3"/>
    <x v="1"/>
    <x v="0"/>
    <x v="1"/>
    <n v="1"/>
    <n v="0"/>
    <n v="0"/>
    <n v="0"/>
    <n v="0"/>
    <n v="0"/>
    <n v="0"/>
    <m/>
    <n v="39.1"/>
  </r>
  <r>
    <x v="421"/>
    <d v="2025-04-20T00:00:00"/>
    <x v="0"/>
    <x v="2"/>
    <x v="0"/>
    <x v="4"/>
    <x v="1"/>
    <n v="1"/>
    <n v="0"/>
    <n v="0"/>
    <n v="0"/>
    <n v="0"/>
    <n v="0"/>
    <n v="0"/>
    <m/>
    <n v="42.6"/>
  </r>
  <r>
    <x v="422"/>
    <d v="2025-05-30T00:00:00"/>
    <x v="0"/>
    <x v="3"/>
    <x v="2"/>
    <x v="1"/>
    <x v="1"/>
    <n v="0"/>
    <n v="0"/>
    <n v="0"/>
    <n v="0"/>
    <n v="0"/>
    <n v="0"/>
    <n v="0"/>
    <m/>
    <n v="74.400000000000006"/>
  </r>
  <r>
    <x v="423"/>
    <d v="2025-02-13T00:00:00"/>
    <x v="0"/>
    <x v="1"/>
    <x v="1"/>
    <x v="3"/>
    <x v="1"/>
    <n v="0"/>
    <n v="0"/>
    <n v="0"/>
    <n v="0"/>
    <n v="0"/>
    <n v="0"/>
    <n v="0"/>
    <m/>
    <n v="55.6"/>
  </r>
  <r>
    <x v="424"/>
    <d v="2025-04-28T00:00:00"/>
    <x v="0"/>
    <x v="1"/>
    <x v="1"/>
    <x v="4"/>
    <x v="1"/>
    <n v="1"/>
    <n v="0"/>
    <n v="0"/>
    <n v="0"/>
    <n v="0"/>
    <n v="0"/>
    <n v="0"/>
    <m/>
    <n v="35.799999999999997"/>
  </r>
  <r>
    <x v="425"/>
    <d v="2025-02-12T00:00:00"/>
    <x v="0"/>
    <x v="0"/>
    <x v="1"/>
    <x v="2"/>
    <x v="0"/>
    <n v="1"/>
    <n v="0"/>
    <n v="0"/>
    <n v="0"/>
    <n v="0"/>
    <n v="1"/>
    <n v="0"/>
    <m/>
    <n v="28.2"/>
  </r>
  <r>
    <x v="426"/>
    <d v="2025-02-12T00:00:00"/>
    <x v="0"/>
    <x v="2"/>
    <x v="1"/>
    <x v="1"/>
    <x v="1"/>
    <n v="0"/>
    <n v="0"/>
    <n v="0"/>
    <n v="0"/>
    <n v="0"/>
    <n v="2"/>
    <n v="0"/>
    <m/>
    <n v="44.4"/>
  </r>
  <r>
    <x v="427"/>
    <d v="2025-03-27T00:00:00"/>
    <x v="0"/>
    <x v="0"/>
    <x v="1"/>
    <x v="0"/>
    <x v="2"/>
    <n v="1"/>
    <n v="0"/>
    <n v="0"/>
    <n v="0"/>
    <n v="0"/>
    <n v="0"/>
    <n v="0"/>
    <m/>
    <n v="49.9"/>
  </r>
  <r>
    <x v="428"/>
    <d v="2025-04-12T00:00:00"/>
    <x v="0"/>
    <x v="3"/>
    <x v="0"/>
    <x v="1"/>
    <x v="1"/>
    <n v="0"/>
    <n v="0"/>
    <n v="0"/>
    <n v="0"/>
    <n v="0"/>
    <n v="0"/>
    <n v="0"/>
    <m/>
    <n v="40.4"/>
  </r>
  <r>
    <x v="429"/>
    <d v="2025-01-30T00:00:00"/>
    <x v="0"/>
    <x v="1"/>
    <x v="1"/>
    <x v="4"/>
    <x v="1"/>
    <n v="0"/>
    <n v="0"/>
    <n v="0"/>
    <n v="0"/>
    <n v="0"/>
    <n v="0"/>
    <n v="0"/>
    <m/>
    <n v="60.4"/>
  </r>
  <r>
    <x v="430"/>
    <d v="2025-05-28T00:00:00"/>
    <x v="0"/>
    <x v="1"/>
    <x v="1"/>
    <x v="4"/>
    <x v="2"/>
    <n v="0"/>
    <n v="0"/>
    <n v="0"/>
    <n v="0"/>
    <n v="0"/>
    <n v="1"/>
    <n v="0"/>
    <m/>
    <n v="52.4"/>
  </r>
  <r>
    <x v="431"/>
    <d v="2025-05-01T00:00:00"/>
    <x v="0"/>
    <x v="3"/>
    <x v="1"/>
    <x v="1"/>
    <x v="0"/>
    <n v="1"/>
    <n v="1"/>
    <n v="0"/>
    <n v="0"/>
    <n v="0"/>
    <n v="0"/>
    <n v="0"/>
    <m/>
    <n v="48.8"/>
  </r>
  <r>
    <x v="432"/>
    <d v="2025-02-03T00:00:00"/>
    <x v="0"/>
    <x v="0"/>
    <x v="2"/>
    <x v="0"/>
    <x v="0"/>
    <n v="1"/>
    <n v="0"/>
    <n v="0"/>
    <n v="0"/>
    <n v="0"/>
    <n v="0"/>
    <n v="0"/>
    <m/>
    <n v="60.9"/>
  </r>
  <r>
    <x v="433"/>
    <d v="2025-01-10T00:00:00"/>
    <x v="0"/>
    <x v="3"/>
    <x v="0"/>
    <x v="4"/>
    <x v="0"/>
    <n v="0"/>
    <n v="0"/>
    <n v="0"/>
    <n v="0"/>
    <n v="0"/>
    <n v="0"/>
    <n v="0"/>
    <m/>
    <n v="68.2"/>
  </r>
  <r>
    <x v="434"/>
    <d v="2025-05-02T00:00:00"/>
    <x v="0"/>
    <x v="0"/>
    <x v="0"/>
    <x v="1"/>
    <x v="0"/>
    <n v="1"/>
    <n v="0"/>
    <n v="0"/>
    <n v="0"/>
    <n v="0"/>
    <n v="0"/>
    <n v="0"/>
    <m/>
    <n v="65.599999999999994"/>
  </r>
  <r>
    <x v="435"/>
    <d v="2025-05-26T00:00:00"/>
    <x v="0"/>
    <x v="0"/>
    <x v="0"/>
    <x v="1"/>
    <x v="0"/>
    <n v="1"/>
    <n v="0"/>
    <n v="0"/>
    <n v="0"/>
    <n v="0"/>
    <n v="0"/>
    <n v="0"/>
    <m/>
    <n v="65.400000000000006"/>
  </r>
  <r>
    <x v="436"/>
    <d v="2025-01-12T00:00:00"/>
    <x v="0"/>
    <x v="1"/>
    <x v="1"/>
    <x v="1"/>
    <x v="0"/>
    <n v="1"/>
    <n v="0"/>
    <n v="0"/>
    <n v="0"/>
    <n v="0"/>
    <n v="0"/>
    <n v="0"/>
    <m/>
    <n v="78.900000000000006"/>
  </r>
  <r>
    <x v="437"/>
    <d v="2025-05-27T00:00:00"/>
    <x v="0"/>
    <x v="2"/>
    <x v="1"/>
    <x v="2"/>
    <x v="0"/>
    <n v="1"/>
    <n v="1"/>
    <n v="1"/>
    <n v="0"/>
    <n v="0"/>
    <n v="0"/>
    <n v="0"/>
    <m/>
    <n v="78.3"/>
  </r>
  <r>
    <x v="438"/>
    <d v="2025-05-22T00:00:00"/>
    <x v="0"/>
    <x v="1"/>
    <x v="0"/>
    <x v="0"/>
    <x v="0"/>
    <n v="0"/>
    <n v="0"/>
    <n v="0"/>
    <n v="0"/>
    <n v="0"/>
    <n v="0"/>
    <n v="0"/>
    <m/>
    <n v="49.2"/>
  </r>
  <r>
    <x v="439"/>
    <d v="2025-04-01T00:00:00"/>
    <x v="0"/>
    <x v="2"/>
    <x v="1"/>
    <x v="4"/>
    <x v="2"/>
    <n v="1"/>
    <n v="1"/>
    <n v="1"/>
    <n v="1"/>
    <n v="1518.83"/>
    <n v="0"/>
    <n v="0"/>
    <n v="9"/>
    <n v="32.200000000000003"/>
  </r>
  <r>
    <x v="440"/>
    <d v="2025-01-22T00:00:00"/>
    <x v="0"/>
    <x v="0"/>
    <x v="1"/>
    <x v="2"/>
    <x v="0"/>
    <n v="1"/>
    <n v="1"/>
    <n v="1"/>
    <n v="0"/>
    <n v="0"/>
    <n v="0"/>
    <n v="0"/>
    <m/>
    <n v="46.3"/>
  </r>
  <r>
    <x v="441"/>
    <d v="2025-05-24T00:00:00"/>
    <x v="0"/>
    <x v="2"/>
    <x v="1"/>
    <x v="2"/>
    <x v="0"/>
    <n v="1"/>
    <n v="0"/>
    <n v="0"/>
    <n v="0"/>
    <n v="0"/>
    <n v="0"/>
    <n v="0"/>
    <m/>
    <n v="55.7"/>
  </r>
  <r>
    <x v="442"/>
    <d v="2025-04-25T00:00:00"/>
    <x v="0"/>
    <x v="3"/>
    <x v="1"/>
    <x v="4"/>
    <x v="1"/>
    <n v="1"/>
    <n v="0"/>
    <n v="0"/>
    <n v="0"/>
    <n v="0"/>
    <n v="0"/>
    <n v="0"/>
    <m/>
    <n v="44.5"/>
  </r>
  <r>
    <x v="443"/>
    <d v="2025-04-12T00:00:00"/>
    <x v="0"/>
    <x v="1"/>
    <x v="0"/>
    <x v="3"/>
    <x v="1"/>
    <n v="1"/>
    <n v="1"/>
    <n v="1"/>
    <n v="0"/>
    <n v="0"/>
    <n v="1"/>
    <n v="0"/>
    <m/>
    <n v="47.9"/>
  </r>
  <r>
    <x v="444"/>
    <d v="2025-04-23T00:00:00"/>
    <x v="0"/>
    <x v="3"/>
    <x v="1"/>
    <x v="1"/>
    <x v="2"/>
    <n v="1"/>
    <n v="0"/>
    <n v="0"/>
    <n v="0"/>
    <n v="0"/>
    <n v="0"/>
    <n v="0"/>
    <m/>
    <n v="43.9"/>
  </r>
  <r>
    <x v="445"/>
    <d v="2025-03-30T00:00:00"/>
    <x v="0"/>
    <x v="0"/>
    <x v="0"/>
    <x v="3"/>
    <x v="1"/>
    <n v="1"/>
    <n v="1"/>
    <n v="1"/>
    <n v="0"/>
    <n v="0"/>
    <n v="1"/>
    <n v="0"/>
    <m/>
    <n v="67.7"/>
  </r>
  <r>
    <x v="446"/>
    <d v="2025-01-18T00:00:00"/>
    <x v="0"/>
    <x v="2"/>
    <x v="1"/>
    <x v="3"/>
    <x v="0"/>
    <n v="0"/>
    <n v="0"/>
    <n v="0"/>
    <n v="0"/>
    <n v="0"/>
    <n v="0"/>
    <n v="0"/>
    <m/>
    <n v="43.7"/>
  </r>
  <r>
    <x v="447"/>
    <d v="2025-04-09T00:00:00"/>
    <x v="0"/>
    <x v="2"/>
    <x v="1"/>
    <x v="1"/>
    <x v="1"/>
    <n v="1"/>
    <n v="0"/>
    <n v="0"/>
    <n v="0"/>
    <n v="0"/>
    <n v="0"/>
    <n v="0"/>
    <m/>
    <n v="68.8"/>
  </r>
  <r>
    <x v="448"/>
    <d v="2025-01-11T00:00:00"/>
    <x v="0"/>
    <x v="1"/>
    <x v="1"/>
    <x v="1"/>
    <x v="1"/>
    <n v="1"/>
    <n v="1"/>
    <n v="1"/>
    <n v="0"/>
    <n v="0"/>
    <n v="0"/>
    <n v="0"/>
    <m/>
    <n v="59.2"/>
  </r>
  <r>
    <x v="449"/>
    <d v="2025-03-05T00:00:00"/>
    <x v="0"/>
    <x v="2"/>
    <x v="1"/>
    <x v="2"/>
    <x v="1"/>
    <n v="1"/>
    <n v="0"/>
    <n v="0"/>
    <n v="0"/>
    <n v="0"/>
    <n v="0"/>
    <n v="0"/>
    <m/>
    <n v="48.6"/>
  </r>
  <r>
    <x v="450"/>
    <d v="2025-02-17T00:00:00"/>
    <x v="0"/>
    <x v="0"/>
    <x v="2"/>
    <x v="4"/>
    <x v="1"/>
    <n v="1"/>
    <n v="1"/>
    <n v="1"/>
    <n v="0"/>
    <n v="0"/>
    <n v="0"/>
    <n v="0"/>
    <m/>
    <n v="56.9"/>
  </r>
  <r>
    <x v="451"/>
    <d v="2025-05-07T00:00:00"/>
    <x v="0"/>
    <x v="0"/>
    <x v="0"/>
    <x v="2"/>
    <x v="1"/>
    <n v="0"/>
    <n v="0"/>
    <n v="0"/>
    <n v="0"/>
    <n v="0"/>
    <n v="0"/>
    <n v="0"/>
    <m/>
    <n v="55.8"/>
  </r>
  <r>
    <x v="452"/>
    <d v="2025-04-10T00:00:00"/>
    <x v="0"/>
    <x v="2"/>
    <x v="1"/>
    <x v="2"/>
    <x v="2"/>
    <n v="0"/>
    <n v="0"/>
    <n v="0"/>
    <n v="0"/>
    <n v="0"/>
    <n v="0"/>
    <n v="0"/>
    <m/>
    <n v="63.3"/>
  </r>
  <r>
    <x v="453"/>
    <d v="2025-04-21T00:00:00"/>
    <x v="0"/>
    <x v="0"/>
    <x v="1"/>
    <x v="4"/>
    <x v="1"/>
    <n v="1"/>
    <n v="0"/>
    <n v="0"/>
    <n v="0"/>
    <n v="0"/>
    <n v="0"/>
    <n v="0"/>
    <m/>
    <n v="52.2"/>
  </r>
  <r>
    <x v="454"/>
    <d v="2025-02-25T00:00:00"/>
    <x v="0"/>
    <x v="3"/>
    <x v="2"/>
    <x v="5"/>
    <x v="1"/>
    <n v="0"/>
    <n v="0"/>
    <n v="0"/>
    <n v="0"/>
    <n v="0"/>
    <n v="0"/>
    <n v="0"/>
    <m/>
    <n v="51.5"/>
  </r>
  <r>
    <x v="455"/>
    <d v="2025-05-14T00:00:00"/>
    <x v="0"/>
    <x v="2"/>
    <x v="0"/>
    <x v="1"/>
    <x v="1"/>
    <n v="0"/>
    <n v="0"/>
    <n v="0"/>
    <n v="0"/>
    <n v="0"/>
    <n v="0"/>
    <n v="0"/>
    <m/>
    <n v="50.3"/>
  </r>
  <r>
    <x v="456"/>
    <d v="2025-03-10T00:00:00"/>
    <x v="0"/>
    <x v="0"/>
    <x v="1"/>
    <x v="0"/>
    <x v="0"/>
    <n v="1"/>
    <n v="0"/>
    <n v="0"/>
    <n v="0"/>
    <n v="0"/>
    <n v="1"/>
    <n v="0"/>
    <m/>
    <n v="35.4"/>
  </r>
  <r>
    <x v="457"/>
    <d v="2025-01-31T00:00:00"/>
    <x v="0"/>
    <x v="1"/>
    <x v="0"/>
    <x v="1"/>
    <x v="2"/>
    <n v="1"/>
    <n v="0"/>
    <n v="0"/>
    <n v="0"/>
    <n v="0"/>
    <n v="1"/>
    <n v="0"/>
    <m/>
    <n v="54.1"/>
  </r>
  <r>
    <x v="458"/>
    <d v="2025-01-17T00:00:00"/>
    <x v="0"/>
    <x v="3"/>
    <x v="1"/>
    <x v="1"/>
    <x v="2"/>
    <n v="1"/>
    <n v="0"/>
    <n v="0"/>
    <n v="0"/>
    <n v="0"/>
    <n v="0"/>
    <n v="0"/>
    <m/>
    <n v="56.2"/>
  </r>
  <r>
    <x v="459"/>
    <d v="2025-03-12T00:00:00"/>
    <x v="0"/>
    <x v="3"/>
    <x v="1"/>
    <x v="2"/>
    <x v="1"/>
    <n v="0"/>
    <n v="0"/>
    <n v="0"/>
    <n v="0"/>
    <n v="0"/>
    <n v="3"/>
    <n v="0"/>
    <m/>
    <n v="43.7"/>
  </r>
  <r>
    <x v="460"/>
    <d v="2025-02-28T00:00:00"/>
    <x v="0"/>
    <x v="1"/>
    <x v="0"/>
    <x v="1"/>
    <x v="2"/>
    <n v="1"/>
    <n v="1"/>
    <n v="0"/>
    <n v="0"/>
    <n v="0"/>
    <n v="0"/>
    <n v="0"/>
    <m/>
    <n v="51.3"/>
  </r>
  <r>
    <x v="461"/>
    <d v="2025-05-19T00:00:00"/>
    <x v="0"/>
    <x v="0"/>
    <x v="3"/>
    <x v="1"/>
    <x v="0"/>
    <n v="1"/>
    <n v="0"/>
    <n v="0"/>
    <n v="0"/>
    <n v="0"/>
    <n v="0"/>
    <n v="0"/>
    <m/>
    <n v="50.5"/>
  </r>
  <r>
    <x v="462"/>
    <d v="2025-02-23T00:00:00"/>
    <x v="0"/>
    <x v="0"/>
    <x v="1"/>
    <x v="3"/>
    <x v="0"/>
    <n v="1"/>
    <n v="0"/>
    <n v="0"/>
    <n v="0"/>
    <n v="0"/>
    <n v="0"/>
    <n v="0"/>
    <m/>
    <n v="57.3"/>
  </r>
  <r>
    <x v="463"/>
    <d v="2025-02-20T00:00:00"/>
    <x v="0"/>
    <x v="1"/>
    <x v="0"/>
    <x v="1"/>
    <x v="1"/>
    <n v="1"/>
    <n v="1"/>
    <n v="1"/>
    <n v="0"/>
    <n v="0"/>
    <n v="0"/>
    <n v="0"/>
    <m/>
    <n v="58.4"/>
  </r>
  <r>
    <x v="464"/>
    <d v="2025-04-12T00:00:00"/>
    <x v="0"/>
    <x v="0"/>
    <x v="1"/>
    <x v="5"/>
    <x v="1"/>
    <n v="0"/>
    <n v="0"/>
    <n v="0"/>
    <n v="0"/>
    <n v="0"/>
    <n v="0"/>
    <n v="0"/>
    <m/>
    <n v="56.5"/>
  </r>
  <r>
    <x v="465"/>
    <d v="2025-01-08T00:00:00"/>
    <x v="0"/>
    <x v="1"/>
    <x v="1"/>
    <x v="0"/>
    <x v="1"/>
    <n v="0"/>
    <n v="0"/>
    <n v="0"/>
    <n v="0"/>
    <n v="0"/>
    <n v="0"/>
    <n v="0"/>
    <m/>
    <n v="69.599999999999994"/>
  </r>
  <r>
    <x v="466"/>
    <d v="2025-02-13T00:00:00"/>
    <x v="0"/>
    <x v="1"/>
    <x v="1"/>
    <x v="1"/>
    <x v="0"/>
    <n v="0"/>
    <n v="0"/>
    <n v="0"/>
    <n v="0"/>
    <n v="0"/>
    <n v="0"/>
    <n v="0"/>
    <m/>
    <n v="6.2"/>
  </r>
  <r>
    <x v="467"/>
    <d v="2025-05-21T00:00:00"/>
    <x v="0"/>
    <x v="2"/>
    <x v="0"/>
    <x v="0"/>
    <x v="1"/>
    <n v="1"/>
    <n v="1"/>
    <n v="1"/>
    <n v="0"/>
    <n v="0"/>
    <n v="0"/>
    <n v="0"/>
    <m/>
    <n v="54.3"/>
  </r>
  <r>
    <x v="468"/>
    <d v="2025-05-30T00:00:00"/>
    <x v="0"/>
    <x v="0"/>
    <x v="1"/>
    <x v="1"/>
    <x v="0"/>
    <n v="0"/>
    <n v="0"/>
    <n v="0"/>
    <n v="0"/>
    <n v="0"/>
    <n v="0"/>
    <n v="0"/>
    <m/>
    <n v="59.8"/>
  </r>
  <r>
    <x v="469"/>
    <d v="2025-05-20T00:00:00"/>
    <x v="0"/>
    <x v="1"/>
    <x v="1"/>
    <x v="2"/>
    <x v="1"/>
    <n v="0"/>
    <n v="0"/>
    <n v="0"/>
    <n v="0"/>
    <n v="0"/>
    <n v="0"/>
    <n v="0"/>
    <m/>
    <n v="58.9"/>
  </r>
  <r>
    <x v="470"/>
    <d v="2025-01-09T00:00:00"/>
    <x v="0"/>
    <x v="2"/>
    <x v="0"/>
    <x v="1"/>
    <x v="1"/>
    <n v="0"/>
    <n v="0"/>
    <n v="0"/>
    <n v="0"/>
    <n v="0"/>
    <n v="1"/>
    <n v="0"/>
    <m/>
    <n v="52.9"/>
  </r>
  <r>
    <x v="471"/>
    <d v="2025-03-07T00:00:00"/>
    <x v="0"/>
    <x v="1"/>
    <x v="1"/>
    <x v="1"/>
    <x v="1"/>
    <n v="0"/>
    <n v="0"/>
    <n v="0"/>
    <n v="0"/>
    <n v="0"/>
    <n v="0"/>
    <n v="0"/>
    <m/>
    <n v="67.8"/>
  </r>
  <r>
    <x v="472"/>
    <d v="2025-04-23T00:00:00"/>
    <x v="0"/>
    <x v="3"/>
    <x v="1"/>
    <x v="4"/>
    <x v="1"/>
    <n v="0"/>
    <n v="0"/>
    <n v="0"/>
    <n v="0"/>
    <n v="0"/>
    <n v="0"/>
    <n v="0"/>
    <m/>
    <n v="48.7"/>
  </r>
  <r>
    <x v="473"/>
    <d v="2025-03-08T00:00:00"/>
    <x v="0"/>
    <x v="2"/>
    <x v="1"/>
    <x v="1"/>
    <x v="0"/>
    <n v="0"/>
    <n v="0"/>
    <n v="0"/>
    <n v="0"/>
    <n v="0"/>
    <n v="0"/>
    <n v="0"/>
    <m/>
    <n v="59"/>
  </r>
  <r>
    <x v="474"/>
    <d v="2025-02-14T00:00:00"/>
    <x v="0"/>
    <x v="3"/>
    <x v="1"/>
    <x v="3"/>
    <x v="1"/>
    <n v="0"/>
    <n v="0"/>
    <n v="0"/>
    <n v="0"/>
    <n v="0"/>
    <n v="0"/>
    <n v="0"/>
    <m/>
    <n v="63.2"/>
  </r>
  <r>
    <x v="475"/>
    <d v="2025-05-17T00:00:00"/>
    <x v="0"/>
    <x v="1"/>
    <x v="1"/>
    <x v="3"/>
    <x v="0"/>
    <n v="1"/>
    <n v="0"/>
    <n v="0"/>
    <n v="0"/>
    <n v="0"/>
    <n v="0"/>
    <n v="0"/>
    <m/>
    <n v="68.7"/>
  </r>
  <r>
    <x v="476"/>
    <d v="2025-04-25T00:00:00"/>
    <x v="0"/>
    <x v="3"/>
    <x v="1"/>
    <x v="3"/>
    <x v="1"/>
    <n v="0"/>
    <n v="0"/>
    <n v="0"/>
    <n v="0"/>
    <n v="0"/>
    <n v="0"/>
    <n v="0"/>
    <m/>
    <n v="52.1"/>
  </r>
  <r>
    <x v="477"/>
    <d v="2025-03-04T00:00:00"/>
    <x v="0"/>
    <x v="3"/>
    <x v="0"/>
    <x v="4"/>
    <x v="0"/>
    <n v="0"/>
    <n v="0"/>
    <n v="0"/>
    <n v="0"/>
    <n v="0"/>
    <n v="0"/>
    <n v="0"/>
    <m/>
    <n v="56.5"/>
  </r>
  <r>
    <x v="478"/>
    <d v="2025-03-18T00:00:00"/>
    <x v="0"/>
    <x v="3"/>
    <x v="1"/>
    <x v="1"/>
    <x v="1"/>
    <n v="1"/>
    <n v="0"/>
    <n v="0"/>
    <n v="0"/>
    <n v="0"/>
    <n v="0"/>
    <n v="0"/>
    <m/>
    <n v="64.400000000000006"/>
  </r>
  <r>
    <x v="479"/>
    <d v="2025-01-30T00:00:00"/>
    <x v="0"/>
    <x v="1"/>
    <x v="1"/>
    <x v="2"/>
    <x v="2"/>
    <n v="1"/>
    <n v="0"/>
    <n v="0"/>
    <n v="0"/>
    <n v="0"/>
    <n v="0"/>
    <n v="0"/>
    <m/>
    <n v="65.900000000000006"/>
  </r>
  <r>
    <x v="480"/>
    <d v="2025-05-20T00:00:00"/>
    <x v="0"/>
    <x v="1"/>
    <x v="2"/>
    <x v="3"/>
    <x v="1"/>
    <n v="1"/>
    <n v="1"/>
    <n v="1"/>
    <n v="0"/>
    <n v="0"/>
    <n v="0"/>
    <n v="0"/>
    <m/>
    <n v="100"/>
  </r>
  <r>
    <x v="481"/>
    <d v="2025-02-13T00:00:00"/>
    <x v="0"/>
    <x v="0"/>
    <x v="3"/>
    <x v="1"/>
    <x v="0"/>
    <n v="1"/>
    <n v="1"/>
    <n v="1"/>
    <n v="0"/>
    <n v="0"/>
    <n v="0"/>
    <n v="0"/>
    <m/>
    <n v="50.4"/>
  </r>
  <r>
    <x v="482"/>
    <d v="2025-04-12T00:00:00"/>
    <x v="0"/>
    <x v="1"/>
    <x v="0"/>
    <x v="1"/>
    <x v="0"/>
    <n v="0"/>
    <n v="0"/>
    <n v="0"/>
    <n v="0"/>
    <n v="0"/>
    <n v="0"/>
    <n v="0"/>
    <m/>
    <n v="41.5"/>
  </r>
  <r>
    <x v="483"/>
    <d v="2025-04-07T00:00:00"/>
    <x v="0"/>
    <x v="0"/>
    <x v="1"/>
    <x v="0"/>
    <x v="1"/>
    <n v="0"/>
    <n v="0"/>
    <n v="0"/>
    <n v="0"/>
    <n v="0"/>
    <n v="0"/>
    <n v="0"/>
    <m/>
    <n v="86.2"/>
  </r>
  <r>
    <x v="484"/>
    <d v="2025-03-12T00:00:00"/>
    <x v="0"/>
    <x v="0"/>
    <x v="0"/>
    <x v="4"/>
    <x v="1"/>
    <n v="1"/>
    <n v="1"/>
    <n v="1"/>
    <n v="0"/>
    <n v="0"/>
    <n v="2"/>
    <n v="0"/>
    <m/>
    <n v="50.8"/>
  </r>
  <r>
    <x v="485"/>
    <d v="2025-02-07T00:00:00"/>
    <x v="0"/>
    <x v="1"/>
    <x v="1"/>
    <x v="1"/>
    <x v="1"/>
    <n v="1"/>
    <n v="0"/>
    <n v="0"/>
    <n v="0"/>
    <n v="0"/>
    <n v="0"/>
    <n v="0"/>
    <m/>
    <n v="50.9"/>
  </r>
  <r>
    <x v="486"/>
    <d v="2025-05-05T00:00:00"/>
    <x v="0"/>
    <x v="0"/>
    <x v="1"/>
    <x v="1"/>
    <x v="2"/>
    <n v="1"/>
    <n v="1"/>
    <n v="0"/>
    <n v="0"/>
    <n v="0"/>
    <n v="0"/>
    <n v="0"/>
    <m/>
    <n v="87.5"/>
  </r>
  <r>
    <x v="487"/>
    <d v="2025-03-18T00:00:00"/>
    <x v="0"/>
    <x v="3"/>
    <x v="1"/>
    <x v="3"/>
    <x v="1"/>
    <n v="0"/>
    <n v="0"/>
    <n v="0"/>
    <n v="0"/>
    <n v="0"/>
    <n v="0"/>
    <n v="0"/>
    <m/>
    <n v="43.6"/>
  </r>
  <r>
    <x v="488"/>
    <d v="2025-01-05T00:00:00"/>
    <x v="0"/>
    <x v="3"/>
    <x v="1"/>
    <x v="2"/>
    <x v="0"/>
    <n v="1"/>
    <n v="0"/>
    <n v="0"/>
    <n v="0"/>
    <n v="0"/>
    <n v="0"/>
    <n v="0"/>
    <m/>
    <n v="55.5"/>
  </r>
  <r>
    <x v="489"/>
    <d v="2025-05-10T00:00:00"/>
    <x v="0"/>
    <x v="3"/>
    <x v="0"/>
    <x v="3"/>
    <x v="0"/>
    <n v="0"/>
    <n v="0"/>
    <n v="0"/>
    <n v="0"/>
    <n v="0"/>
    <n v="0"/>
    <n v="0"/>
    <m/>
    <n v="78.599999999999994"/>
  </r>
  <r>
    <x v="490"/>
    <d v="2025-01-03T00:00:00"/>
    <x v="0"/>
    <x v="3"/>
    <x v="1"/>
    <x v="4"/>
    <x v="0"/>
    <n v="1"/>
    <n v="1"/>
    <n v="0"/>
    <n v="0"/>
    <n v="0"/>
    <n v="1"/>
    <n v="0"/>
    <m/>
    <n v="44.3"/>
  </r>
  <r>
    <x v="491"/>
    <d v="2025-05-08T00:00:00"/>
    <x v="0"/>
    <x v="3"/>
    <x v="1"/>
    <x v="2"/>
    <x v="1"/>
    <n v="1"/>
    <n v="1"/>
    <n v="0"/>
    <n v="0"/>
    <n v="0"/>
    <n v="0"/>
    <n v="0"/>
    <m/>
    <n v="45.2"/>
  </r>
  <r>
    <x v="492"/>
    <d v="2025-03-05T00:00:00"/>
    <x v="0"/>
    <x v="3"/>
    <x v="0"/>
    <x v="0"/>
    <x v="0"/>
    <n v="1"/>
    <n v="0"/>
    <n v="0"/>
    <n v="0"/>
    <n v="0"/>
    <n v="2"/>
    <n v="0"/>
    <m/>
    <n v="46.1"/>
  </r>
  <r>
    <x v="493"/>
    <d v="2025-02-17T00:00:00"/>
    <x v="0"/>
    <x v="0"/>
    <x v="1"/>
    <x v="1"/>
    <x v="2"/>
    <n v="1"/>
    <n v="0"/>
    <n v="0"/>
    <n v="0"/>
    <n v="0"/>
    <n v="0"/>
    <n v="0"/>
    <m/>
    <n v="49.6"/>
  </r>
  <r>
    <x v="494"/>
    <d v="2025-01-09T00:00:00"/>
    <x v="0"/>
    <x v="3"/>
    <x v="1"/>
    <x v="3"/>
    <x v="0"/>
    <n v="0"/>
    <n v="0"/>
    <n v="0"/>
    <n v="0"/>
    <n v="0"/>
    <n v="0"/>
    <n v="0"/>
    <m/>
    <n v="70.5"/>
  </r>
  <r>
    <x v="495"/>
    <d v="2025-05-05T00:00:00"/>
    <x v="0"/>
    <x v="3"/>
    <x v="1"/>
    <x v="0"/>
    <x v="0"/>
    <n v="0"/>
    <n v="0"/>
    <n v="0"/>
    <n v="0"/>
    <n v="0"/>
    <n v="1"/>
    <n v="0"/>
    <m/>
    <n v="60.8"/>
  </r>
  <r>
    <x v="496"/>
    <d v="2025-04-16T00:00:00"/>
    <x v="0"/>
    <x v="2"/>
    <x v="1"/>
    <x v="0"/>
    <x v="0"/>
    <n v="0"/>
    <n v="0"/>
    <n v="0"/>
    <n v="0"/>
    <n v="0"/>
    <n v="1"/>
    <n v="0"/>
    <m/>
    <n v="50.5"/>
  </r>
  <r>
    <x v="497"/>
    <d v="2025-03-02T00:00:00"/>
    <x v="0"/>
    <x v="3"/>
    <x v="0"/>
    <x v="1"/>
    <x v="1"/>
    <n v="1"/>
    <n v="0"/>
    <n v="0"/>
    <n v="0"/>
    <n v="0"/>
    <n v="0"/>
    <n v="0"/>
    <m/>
    <n v="54.9"/>
  </r>
  <r>
    <x v="498"/>
    <d v="2025-04-14T00:00:00"/>
    <x v="0"/>
    <x v="3"/>
    <x v="1"/>
    <x v="4"/>
    <x v="2"/>
    <n v="0"/>
    <n v="0"/>
    <n v="0"/>
    <n v="0"/>
    <n v="0"/>
    <n v="0"/>
    <n v="0"/>
    <m/>
    <n v="29.9"/>
  </r>
  <r>
    <x v="499"/>
    <d v="2025-02-15T00:00:00"/>
    <x v="0"/>
    <x v="2"/>
    <x v="0"/>
    <x v="2"/>
    <x v="0"/>
    <n v="0"/>
    <n v="0"/>
    <n v="0"/>
    <n v="0"/>
    <n v="0"/>
    <n v="0"/>
    <n v="0"/>
    <m/>
    <n v="48.3"/>
  </r>
  <r>
    <x v="500"/>
    <d v="2025-02-13T00:00:00"/>
    <x v="0"/>
    <x v="1"/>
    <x v="1"/>
    <x v="4"/>
    <x v="1"/>
    <n v="1"/>
    <n v="1"/>
    <n v="1"/>
    <n v="1"/>
    <n v="513.61"/>
    <n v="0"/>
    <n v="0"/>
    <n v="7"/>
    <n v="41.3"/>
  </r>
  <r>
    <x v="501"/>
    <d v="2025-03-06T00:00:00"/>
    <x v="0"/>
    <x v="0"/>
    <x v="1"/>
    <x v="0"/>
    <x v="1"/>
    <n v="0"/>
    <n v="0"/>
    <n v="0"/>
    <n v="0"/>
    <n v="0"/>
    <n v="0"/>
    <n v="0"/>
    <m/>
    <n v="61.4"/>
  </r>
  <r>
    <x v="502"/>
    <d v="2025-02-18T00:00:00"/>
    <x v="0"/>
    <x v="3"/>
    <x v="0"/>
    <x v="4"/>
    <x v="1"/>
    <n v="0"/>
    <n v="0"/>
    <n v="0"/>
    <n v="0"/>
    <n v="0"/>
    <n v="0"/>
    <n v="0"/>
    <m/>
    <n v="57.8"/>
  </r>
  <r>
    <x v="503"/>
    <d v="2025-04-07T00:00:00"/>
    <x v="0"/>
    <x v="0"/>
    <x v="0"/>
    <x v="1"/>
    <x v="1"/>
    <n v="0"/>
    <n v="0"/>
    <n v="0"/>
    <n v="0"/>
    <n v="0"/>
    <n v="0"/>
    <n v="0"/>
    <m/>
    <n v="78.2"/>
  </r>
  <r>
    <x v="504"/>
    <d v="2025-04-06T00:00:00"/>
    <x v="0"/>
    <x v="0"/>
    <x v="1"/>
    <x v="3"/>
    <x v="1"/>
    <n v="0"/>
    <n v="0"/>
    <n v="0"/>
    <n v="0"/>
    <n v="0"/>
    <n v="0"/>
    <n v="0"/>
    <m/>
    <n v="63.8"/>
  </r>
  <r>
    <x v="505"/>
    <d v="2025-01-30T00:00:00"/>
    <x v="0"/>
    <x v="0"/>
    <x v="0"/>
    <x v="4"/>
    <x v="1"/>
    <n v="1"/>
    <n v="0"/>
    <n v="0"/>
    <n v="0"/>
    <n v="0"/>
    <n v="0"/>
    <n v="0"/>
    <m/>
    <n v="56.8"/>
  </r>
  <r>
    <x v="506"/>
    <d v="2025-05-13T00:00:00"/>
    <x v="0"/>
    <x v="3"/>
    <x v="0"/>
    <x v="1"/>
    <x v="0"/>
    <n v="1"/>
    <n v="1"/>
    <n v="0"/>
    <n v="0"/>
    <n v="0"/>
    <n v="0"/>
    <n v="0"/>
    <m/>
    <n v="59.6"/>
  </r>
  <r>
    <x v="507"/>
    <d v="2025-01-20T00:00:00"/>
    <x v="0"/>
    <x v="1"/>
    <x v="1"/>
    <x v="2"/>
    <x v="2"/>
    <n v="1"/>
    <n v="1"/>
    <n v="0"/>
    <n v="0"/>
    <n v="0"/>
    <n v="0"/>
    <n v="0"/>
    <m/>
    <n v="50"/>
  </r>
  <r>
    <x v="508"/>
    <d v="2025-01-30T00:00:00"/>
    <x v="0"/>
    <x v="0"/>
    <x v="2"/>
    <x v="1"/>
    <x v="1"/>
    <n v="1"/>
    <n v="0"/>
    <n v="0"/>
    <n v="0"/>
    <n v="0"/>
    <n v="0"/>
    <n v="0"/>
    <m/>
    <n v="35.700000000000003"/>
  </r>
  <r>
    <x v="509"/>
    <d v="2025-01-13T00:00:00"/>
    <x v="0"/>
    <x v="3"/>
    <x v="1"/>
    <x v="1"/>
    <x v="1"/>
    <n v="0"/>
    <n v="0"/>
    <n v="0"/>
    <n v="0"/>
    <n v="0"/>
    <n v="2"/>
    <n v="0"/>
    <m/>
    <n v="47.2"/>
  </r>
  <r>
    <x v="510"/>
    <d v="2025-02-11T00:00:00"/>
    <x v="0"/>
    <x v="0"/>
    <x v="1"/>
    <x v="4"/>
    <x v="1"/>
    <n v="1"/>
    <n v="1"/>
    <n v="0"/>
    <n v="0"/>
    <n v="0"/>
    <n v="0"/>
    <n v="0"/>
    <m/>
    <n v="56.9"/>
  </r>
  <r>
    <x v="511"/>
    <d v="2025-04-15T00:00:00"/>
    <x v="0"/>
    <x v="3"/>
    <x v="1"/>
    <x v="1"/>
    <x v="1"/>
    <n v="0"/>
    <n v="0"/>
    <n v="0"/>
    <n v="0"/>
    <n v="0"/>
    <n v="1"/>
    <n v="0"/>
    <m/>
    <n v="57.2"/>
  </r>
  <r>
    <x v="512"/>
    <d v="2025-02-13T00:00:00"/>
    <x v="0"/>
    <x v="3"/>
    <x v="1"/>
    <x v="5"/>
    <x v="1"/>
    <n v="1"/>
    <n v="1"/>
    <n v="0"/>
    <n v="0"/>
    <n v="0"/>
    <n v="0"/>
    <n v="0"/>
    <m/>
    <n v="31.4"/>
  </r>
  <r>
    <x v="513"/>
    <d v="2025-05-09T00:00:00"/>
    <x v="0"/>
    <x v="3"/>
    <x v="0"/>
    <x v="1"/>
    <x v="1"/>
    <n v="0"/>
    <n v="0"/>
    <n v="0"/>
    <n v="0"/>
    <n v="0"/>
    <n v="0"/>
    <n v="0"/>
    <m/>
    <n v="71.2"/>
  </r>
  <r>
    <x v="514"/>
    <d v="2025-03-10T00:00:00"/>
    <x v="0"/>
    <x v="0"/>
    <x v="1"/>
    <x v="2"/>
    <x v="1"/>
    <n v="1"/>
    <n v="1"/>
    <n v="1"/>
    <n v="0"/>
    <n v="0"/>
    <n v="1"/>
    <n v="0"/>
    <m/>
    <n v="38.299999999999997"/>
  </r>
  <r>
    <x v="515"/>
    <d v="2025-04-01T00:00:00"/>
    <x v="0"/>
    <x v="0"/>
    <x v="1"/>
    <x v="1"/>
    <x v="1"/>
    <n v="1"/>
    <n v="1"/>
    <n v="0"/>
    <n v="0"/>
    <n v="0"/>
    <n v="0"/>
    <n v="0"/>
    <m/>
    <n v="63.1"/>
  </r>
  <r>
    <x v="516"/>
    <d v="2025-05-15T00:00:00"/>
    <x v="0"/>
    <x v="2"/>
    <x v="1"/>
    <x v="3"/>
    <x v="0"/>
    <n v="1"/>
    <n v="0"/>
    <n v="0"/>
    <n v="0"/>
    <n v="0"/>
    <n v="0"/>
    <n v="0"/>
    <m/>
    <n v="59.7"/>
  </r>
  <r>
    <x v="517"/>
    <d v="2025-05-04T00:00:00"/>
    <x v="0"/>
    <x v="3"/>
    <x v="0"/>
    <x v="4"/>
    <x v="2"/>
    <n v="1"/>
    <n v="1"/>
    <n v="1"/>
    <n v="0"/>
    <n v="0"/>
    <n v="0"/>
    <n v="0"/>
    <m/>
    <n v="59.5"/>
  </r>
  <r>
    <x v="518"/>
    <d v="2025-05-20T00:00:00"/>
    <x v="0"/>
    <x v="2"/>
    <x v="1"/>
    <x v="2"/>
    <x v="1"/>
    <n v="0"/>
    <n v="0"/>
    <n v="0"/>
    <n v="0"/>
    <n v="0"/>
    <n v="0"/>
    <n v="0"/>
    <m/>
    <n v="78.8"/>
  </r>
  <r>
    <x v="519"/>
    <d v="2025-05-16T00:00:00"/>
    <x v="0"/>
    <x v="1"/>
    <x v="0"/>
    <x v="3"/>
    <x v="1"/>
    <n v="0"/>
    <n v="0"/>
    <n v="0"/>
    <n v="0"/>
    <n v="0"/>
    <n v="0"/>
    <n v="0"/>
    <m/>
    <n v="54"/>
  </r>
  <r>
    <x v="520"/>
    <d v="2025-03-17T00:00:00"/>
    <x v="0"/>
    <x v="1"/>
    <x v="1"/>
    <x v="1"/>
    <x v="1"/>
    <n v="1"/>
    <n v="0"/>
    <n v="0"/>
    <n v="0"/>
    <n v="0"/>
    <n v="0"/>
    <n v="0"/>
    <m/>
    <n v="66.3"/>
  </r>
  <r>
    <x v="521"/>
    <d v="2025-01-27T00:00:00"/>
    <x v="0"/>
    <x v="2"/>
    <x v="2"/>
    <x v="2"/>
    <x v="1"/>
    <n v="1"/>
    <n v="1"/>
    <n v="0"/>
    <n v="0"/>
    <n v="0"/>
    <n v="0"/>
    <n v="0"/>
    <m/>
    <n v="54.7"/>
  </r>
  <r>
    <x v="522"/>
    <d v="2025-04-13T00:00:00"/>
    <x v="0"/>
    <x v="3"/>
    <x v="1"/>
    <x v="1"/>
    <x v="0"/>
    <n v="1"/>
    <n v="0"/>
    <n v="0"/>
    <n v="0"/>
    <n v="0"/>
    <n v="0"/>
    <n v="0"/>
    <m/>
    <n v="76.7"/>
  </r>
  <r>
    <x v="523"/>
    <d v="2025-05-03T00:00:00"/>
    <x v="0"/>
    <x v="3"/>
    <x v="0"/>
    <x v="0"/>
    <x v="0"/>
    <n v="1"/>
    <n v="0"/>
    <n v="0"/>
    <n v="0"/>
    <n v="0"/>
    <n v="2"/>
    <n v="0"/>
    <m/>
    <n v="47.4"/>
  </r>
  <r>
    <x v="524"/>
    <d v="2025-03-30T00:00:00"/>
    <x v="0"/>
    <x v="0"/>
    <x v="1"/>
    <x v="1"/>
    <x v="1"/>
    <n v="1"/>
    <n v="1"/>
    <n v="1"/>
    <n v="0"/>
    <n v="0"/>
    <n v="0"/>
    <n v="0"/>
    <m/>
    <n v="81.7"/>
  </r>
  <r>
    <x v="525"/>
    <d v="2025-01-01T00:00:00"/>
    <x v="0"/>
    <x v="1"/>
    <x v="1"/>
    <x v="2"/>
    <x v="0"/>
    <n v="1"/>
    <n v="1"/>
    <n v="1"/>
    <n v="0"/>
    <n v="0"/>
    <n v="0"/>
    <n v="0"/>
    <m/>
    <n v="67.5"/>
  </r>
  <r>
    <x v="526"/>
    <d v="2025-02-06T00:00:00"/>
    <x v="0"/>
    <x v="1"/>
    <x v="1"/>
    <x v="2"/>
    <x v="0"/>
    <n v="1"/>
    <n v="0"/>
    <n v="0"/>
    <n v="0"/>
    <n v="0"/>
    <n v="0"/>
    <n v="0"/>
    <m/>
    <n v="36.799999999999997"/>
  </r>
  <r>
    <x v="527"/>
    <d v="2025-02-25T00:00:00"/>
    <x v="0"/>
    <x v="0"/>
    <x v="0"/>
    <x v="1"/>
    <x v="1"/>
    <n v="0"/>
    <n v="0"/>
    <n v="0"/>
    <n v="0"/>
    <n v="0"/>
    <n v="0"/>
    <n v="0"/>
    <m/>
    <n v="66.5"/>
  </r>
  <r>
    <x v="528"/>
    <d v="2025-05-14T00:00:00"/>
    <x v="0"/>
    <x v="2"/>
    <x v="2"/>
    <x v="4"/>
    <x v="1"/>
    <n v="1"/>
    <n v="0"/>
    <n v="0"/>
    <n v="0"/>
    <n v="0"/>
    <n v="0"/>
    <n v="0"/>
    <m/>
    <n v="35.4"/>
  </r>
  <r>
    <x v="529"/>
    <d v="2025-05-20T00:00:00"/>
    <x v="0"/>
    <x v="3"/>
    <x v="1"/>
    <x v="1"/>
    <x v="0"/>
    <n v="0"/>
    <n v="0"/>
    <n v="0"/>
    <n v="0"/>
    <n v="0"/>
    <n v="0"/>
    <n v="0"/>
    <m/>
    <n v="64.3"/>
  </r>
  <r>
    <x v="530"/>
    <d v="2025-02-11T00:00:00"/>
    <x v="0"/>
    <x v="3"/>
    <x v="1"/>
    <x v="1"/>
    <x v="1"/>
    <n v="0"/>
    <n v="0"/>
    <n v="0"/>
    <n v="0"/>
    <n v="0"/>
    <n v="0"/>
    <n v="0"/>
    <m/>
    <n v="49.1"/>
  </r>
  <r>
    <x v="531"/>
    <d v="2025-02-13T00:00:00"/>
    <x v="0"/>
    <x v="1"/>
    <x v="1"/>
    <x v="1"/>
    <x v="1"/>
    <n v="1"/>
    <n v="0"/>
    <n v="0"/>
    <n v="0"/>
    <n v="0"/>
    <n v="0"/>
    <n v="0"/>
    <m/>
    <n v="84.3"/>
  </r>
  <r>
    <x v="532"/>
    <d v="2025-04-07T00:00:00"/>
    <x v="0"/>
    <x v="3"/>
    <x v="1"/>
    <x v="2"/>
    <x v="2"/>
    <n v="1"/>
    <n v="0"/>
    <n v="0"/>
    <n v="0"/>
    <n v="0"/>
    <n v="0"/>
    <n v="0"/>
    <m/>
    <n v="65.599999999999994"/>
  </r>
  <r>
    <x v="533"/>
    <d v="2025-03-08T00:00:00"/>
    <x v="0"/>
    <x v="2"/>
    <x v="1"/>
    <x v="0"/>
    <x v="1"/>
    <n v="1"/>
    <n v="0"/>
    <n v="0"/>
    <n v="0"/>
    <n v="0"/>
    <n v="0"/>
    <n v="0"/>
    <m/>
    <n v="47.1"/>
  </r>
  <r>
    <x v="534"/>
    <d v="2025-02-16T00:00:00"/>
    <x v="0"/>
    <x v="0"/>
    <x v="0"/>
    <x v="2"/>
    <x v="1"/>
    <n v="1"/>
    <n v="1"/>
    <n v="1"/>
    <n v="0"/>
    <n v="0"/>
    <n v="0"/>
    <n v="0"/>
    <m/>
    <n v="70"/>
  </r>
  <r>
    <x v="535"/>
    <d v="2025-04-28T00:00:00"/>
    <x v="0"/>
    <x v="3"/>
    <x v="1"/>
    <x v="2"/>
    <x v="2"/>
    <n v="1"/>
    <n v="0"/>
    <n v="0"/>
    <n v="0"/>
    <n v="0"/>
    <n v="0"/>
    <n v="0"/>
    <m/>
    <n v="54.6"/>
  </r>
  <r>
    <x v="536"/>
    <d v="2025-03-10T00:00:00"/>
    <x v="0"/>
    <x v="1"/>
    <x v="2"/>
    <x v="4"/>
    <x v="0"/>
    <n v="1"/>
    <n v="1"/>
    <n v="0"/>
    <n v="0"/>
    <n v="0"/>
    <n v="1"/>
    <n v="0"/>
    <m/>
    <n v="65.2"/>
  </r>
  <r>
    <x v="537"/>
    <d v="2025-01-25T00:00:00"/>
    <x v="0"/>
    <x v="2"/>
    <x v="1"/>
    <x v="4"/>
    <x v="1"/>
    <n v="1"/>
    <n v="0"/>
    <n v="0"/>
    <n v="0"/>
    <n v="0"/>
    <n v="0"/>
    <n v="0"/>
    <m/>
    <n v="65"/>
  </r>
  <r>
    <x v="538"/>
    <d v="2025-01-11T00:00:00"/>
    <x v="0"/>
    <x v="1"/>
    <x v="1"/>
    <x v="2"/>
    <x v="2"/>
    <n v="1"/>
    <n v="1"/>
    <n v="1"/>
    <n v="0"/>
    <n v="0"/>
    <n v="1"/>
    <n v="0"/>
    <m/>
    <n v="42.1"/>
  </r>
  <r>
    <x v="539"/>
    <d v="2025-03-31T00:00:00"/>
    <x v="0"/>
    <x v="1"/>
    <x v="2"/>
    <x v="2"/>
    <x v="1"/>
    <n v="1"/>
    <n v="0"/>
    <n v="0"/>
    <n v="0"/>
    <n v="0"/>
    <n v="0"/>
    <n v="0"/>
    <m/>
    <n v="43.4"/>
  </r>
  <r>
    <x v="540"/>
    <d v="2025-05-22T00:00:00"/>
    <x v="0"/>
    <x v="0"/>
    <x v="1"/>
    <x v="2"/>
    <x v="0"/>
    <n v="1"/>
    <n v="1"/>
    <n v="0"/>
    <n v="0"/>
    <n v="0"/>
    <n v="0"/>
    <n v="0"/>
    <m/>
    <n v="39.9"/>
  </r>
  <r>
    <x v="541"/>
    <d v="2025-05-16T00:00:00"/>
    <x v="0"/>
    <x v="0"/>
    <x v="1"/>
    <x v="3"/>
    <x v="0"/>
    <n v="0"/>
    <n v="0"/>
    <n v="0"/>
    <n v="0"/>
    <n v="0"/>
    <n v="0"/>
    <n v="0"/>
    <m/>
    <n v="74.099999999999994"/>
  </r>
  <r>
    <x v="542"/>
    <d v="2025-04-25T00:00:00"/>
    <x v="0"/>
    <x v="2"/>
    <x v="0"/>
    <x v="2"/>
    <x v="1"/>
    <n v="1"/>
    <n v="0"/>
    <n v="0"/>
    <n v="0"/>
    <n v="0"/>
    <n v="0"/>
    <n v="0"/>
    <m/>
    <n v="61.4"/>
  </r>
  <r>
    <x v="543"/>
    <d v="2025-04-17T00:00:00"/>
    <x v="0"/>
    <x v="2"/>
    <x v="1"/>
    <x v="4"/>
    <x v="2"/>
    <n v="1"/>
    <n v="1"/>
    <n v="1"/>
    <n v="0"/>
    <n v="0"/>
    <n v="0"/>
    <n v="0"/>
    <m/>
    <n v="76.8"/>
  </r>
  <r>
    <x v="544"/>
    <d v="2025-01-01T00:00:00"/>
    <x v="0"/>
    <x v="3"/>
    <x v="0"/>
    <x v="4"/>
    <x v="0"/>
    <n v="0"/>
    <n v="0"/>
    <n v="0"/>
    <n v="0"/>
    <n v="0"/>
    <n v="0"/>
    <n v="0"/>
    <m/>
    <m/>
  </r>
  <r>
    <x v="545"/>
    <d v="2025-03-18T00:00:00"/>
    <x v="0"/>
    <x v="2"/>
    <x v="1"/>
    <x v="2"/>
    <x v="0"/>
    <n v="1"/>
    <n v="1"/>
    <n v="1"/>
    <n v="0"/>
    <n v="0"/>
    <n v="0"/>
    <n v="0"/>
    <m/>
    <n v="45.3"/>
  </r>
  <r>
    <x v="546"/>
    <d v="2025-05-20T00:00:00"/>
    <x v="0"/>
    <x v="0"/>
    <x v="2"/>
    <x v="2"/>
    <x v="1"/>
    <n v="1"/>
    <n v="0"/>
    <n v="0"/>
    <n v="0"/>
    <n v="0"/>
    <n v="0"/>
    <n v="0"/>
    <m/>
    <n v="41.4"/>
  </r>
  <r>
    <x v="547"/>
    <d v="2025-03-16T00:00:00"/>
    <x v="0"/>
    <x v="0"/>
    <x v="1"/>
    <x v="1"/>
    <x v="0"/>
    <n v="1"/>
    <n v="0"/>
    <n v="0"/>
    <n v="0"/>
    <n v="0"/>
    <n v="0"/>
    <n v="0"/>
    <m/>
    <n v="37.1"/>
  </r>
  <r>
    <x v="548"/>
    <d v="2025-05-30T00:00:00"/>
    <x v="0"/>
    <x v="2"/>
    <x v="0"/>
    <x v="4"/>
    <x v="1"/>
    <n v="1"/>
    <n v="0"/>
    <n v="0"/>
    <n v="0"/>
    <n v="0"/>
    <n v="0"/>
    <n v="0"/>
    <m/>
    <n v="40.700000000000003"/>
  </r>
  <r>
    <x v="549"/>
    <d v="2025-02-20T00:00:00"/>
    <x v="0"/>
    <x v="0"/>
    <x v="1"/>
    <x v="4"/>
    <x v="2"/>
    <n v="0"/>
    <n v="0"/>
    <n v="0"/>
    <n v="0"/>
    <n v="0"/>
    <n v="2"/>
    <n v="0"/>
    <m/>
    <n v="55.9"/>
  </r>
  <r>
    <x v="550"/>
    <d v="2025-02-11T00:00:00"/>
    <x v="0"/>
    <x v="2"/>
    <x v="3"/>
    <x v="4"/>
    <x v="1"/>
    <n v="1"/>
    <n v="1"/>
    <n v="0"/>
    <n v="0"/>
    <n v="0"/>
    <n v="0"/>
    <n v="0"/>
    <m/>
    <n v="55.8"/>
  </r>
  <r>
    <x v="551"/>
    <d v="2025-01-02T00:00:00"/>
    <x v="0"/>
    <x v="3"/>
    <x v="2"/>
    <x v="3"/>
    <x v="0"/>
    <n v="1"/>
    <n v="0"/>
    <n v="0"/>
    <n v="0"/>
    <n v="0"/>
    <n v="0"/>
    <n v="0"/>
    <m/>
    <n v="64.3"/>
  </r>
  <r>
    <x v="552"/>
    <d v="2025-05-03T00:00:00"/>
    <x v="0"/>
    <x v="0"/>
    <x v="1"/>
    <x v="1"/>
    <x v="1"/>
    <n v="0"/>
    <n v="0"/>
    <n v="0"/>
    <n v="0"/>
    <n v="0"/>
    <n v="0"/>
    <n v="0"/>
    <m/>
    <n v="65.400000000000006"/>
  </r>
  <r>
    <x v="553"/>
    <d v="2025-02-24T00:00:00"/>
    <x v="0"/>
    <x v="1"/>
    <x v="1"/>
    <x v="1"/>
    <x v="1"/>
    <n v="1"/>
    <n v="0"/>
    <n v="0"/>
    <n v="0"/>
    <n v="0"/>
    <n v="0"/>
    <n v="0"/>
    <m/>
    <n v="89.8"/>
  </r>
  <r>
    <x v="554"/>
    <d v="2025-02-11T00:00:00"/>
    <x v="0"/>
    <x v="3"/>
    <x v="3"/>
    <x v="1"/>
    <x v="1"/>
    <n v="1"/>
    <n v="1"/>
    <n v="1"/>
    <n v="0"/>
    <n v="0"/>
    <n v="0"/>
    <n v="0"/>
    <m/>
    <n v="58.3"/>
  </r>
  <r>
    <x v="555"/>
    <d v="2025-05-06T00:00:00"/>
    <x v="0"/>
    <x v="3"/>
    <x v="1"/>
    <x v="4"/>
    <x v="0"/>
    <n v="1"/>
    <n v="0"/>
    <n v="0"/>
    <n v="0"/>
    <n v="0"/>
    <n v="0"/>
    <n v="0"/>
    <m/>
    <n v="64.400000000000006"/>
  </r>
  <r>
    <x v="556"/>
    <d v="2025-05-23T00:00:00"/>
    <x v="0"/>
    <x v="0"/>
    <x v="1"/>
    <x v="2"/>
    <x v="2"/>
    <n v="0"/>
    <n v="0"/>
    <n v="0"/>
    <n v="0"/>
    <n v="0"/>
    <n v="0"/>
    <n v="0"/>
    <m/>
    <n v="46.2"/>
  </r>
  <r>
    <x v="557"/>
    <d v="2025-01-09T00:00:00"/>
    <x v="0"/>
    <x v="0"/>
    <x v="0"/>
    <x v="2"/>
    <x v="1"/>
    <n v="0"/>
    <n v="0"/>
    <n v="0"/>
    <n v="0"/>
    <n v="0"/>
    <n v="0"/>
    <n v="0"/>
    <m/>
    <n v="78"/>
  </r>
  <r>
    <x v="558"/>
    <d v="2025-04-01T00:00:00"/>
    <x v="0"/>
    <x v="0"/>
    <x v="0"/>
    <x v="1"/>
    <x v="2"/>
    <n v="1"/>
    <n v="0"/>
    <n v="0"/>
    <n v="0"/>
    <n v="0"/>
    <n v="0"/>
    <n v="0"/>
    <m/>
    <n v="62.3"/>
  </r>
  <r>
    <x v="559"/>
    <d v="2025-03-08T00:00:00"/>
    <x v="0"/>
    <x v="0"/>
    <x v="1"/>
    <x v="1"/>
    <x v="1"/>
    <n v="1"/>
    <n v="0"/>
    <n v="0"/>
    <n v="0"/>
    <n v="0"/>
    <n v="0"/>
    <n v="0"/>
    <m/>
    <n v="78.8"/>
  </r>
  <r>
    <x v="560"/>
    <d v="2025-02-20T00:00:00"/>
    <x v="0"/>
    <x v="0"/>
    <x v="1"/>
    <x v="4"/>
    <x v="0"/>
    <n v="1"/>
    <n v="0"/>
    <n v="0"/>
    <n v="0"/>
    <n v="0"/>
    <n v="0"/>
    <n v="0"/>
    <m/>
    <n v="25"/>
  </r>
  <r>
    <x v="561"/>
    <d v="2025-03-30T00:00:00"/>
    <x v="0"/>
    <x v="2"/>
    <x v="1"/>
    <x v="4"/>
    <x v="0"/>
    <n v="0"/>
    <n v="0"/>
    <n v="0"/>
    <n v="0"/>
    <n v="0"/>
    <n v="0"/>
    <n v="0"/>
    <m/>
    <n v="53.4"/>
  </r>
  <r>
    <x v="562"/>
    <d v="2025-04-10T00:00:00"/>
    <x v="0"/>
    <x v="2"/>
    <x v="0"/>
    <x v="1"/>
    <x v="0"/>
    <n v="0"/>
    <n v="0"/>
    <n v="0"/>
    <n v="0"/>
    <n v="0"/>
    <n v="0"/>
    <n v="0"/>
    <m/>
    <n v="40.700000000000003"/>
  </r>
  <r>
    <x v="563"/>
    <d v="2025-03-24T00:00:00"/>
    <x v="0"/>
    <x v="2"/>
    <x v="1"/>
    <x v="1"/>
    <x v="2"/>
    <n v="1"/>
    <n v="1"/>
    <n v="0"/>
    <n v="0"/>
    <n v="0"/>
    <n v="0"/>
    <n v="0"/>
    <m/>
    <n v="36.700000000000003"/>
  </r>
  <r>
    <x v="564"/>
    <d v="2025-05-21T00:00:00"/>
    <x v="0"/>
    <x v="1"/>
    <x v="1"/>
    <x v="1"/>
    <x v="0"/>
    <n v="1"/>
    <n v="0"/>
    <n v="0"/>
    <n v="0"/>
    <n v="0"/>
    <n v="1"/>
    <n v="0"/>
    <m/>
    <n v="67.5"/>
  </r>
  <r>
    <x v="565"/>
    <d v="2025-03-29T00:00:00"/>
    <x v="0"/>
    <x v="2"/>
    <x v="1"/>
    <x v="4"/>
    <x v="2"/>
    <n v="1"/>
    <n v="1"/>
    <n v="1"/>
    <n v="0"/>
    <n v="0"/>
    <n v="0"/>
    <n v="0"/>
    <m/>
    <n v="69.900000000000006"/>
  </r>
  <r>
    <x v="566"/>
    <d v="2025-02-23T00:00:00"/>
    <x v="0"/>
    <x v="0"/>
    <x v="2"/>
    <x v="3"/>
    <x v="0"/>
    <n v="1"/>
    <n v="0"/>
    <n v="0"/>
    <n v="0"/>
    <n v="0"/>
    <n v="0"/>
    <n v="0"/>
    <m/>
    <n v="65.099999999999994"/>
  </r>
  <r>
    <x v="567"/>
    <d v="2025-02-16T00:00:00"/>
    <x v="0"/>
    <x v="1"/>
    <x v="1"/>
    <x v="2"/>
    <x v="2"/>
    <n v="1"/>
    <n v="0"/>
    <n v="0"/>
    <n v="0"/>
    <n v="0"/>
    <n v="0"/>
    <n v="0"/>
    <m/>
    <n v="48.7"/>
  </r>
  <r>
    <x v="568"/>
    <d v="2025-02-21T00:00:00"/>
    <x v="0"/>
    <x v="1"/>
    <x v="0"/>
    <x v="1"/>
    <x v="0"/>
    <n v="1"/>
    <n v="1"/>
    <n v="0"/>
    <n v="0"/>
    <n v="0"/>
    <n v="0"/>
    <n v="0"/>
    <m/>
    <n v="47.2"/>
  </r>
  <r>
    <x v="569"/>
    <d v="2025-01-07T00:00:00"/>
    <x v="0"/>
    <x v="0"/>
    <x v="1"/>
    <x v="3"/>
    <x v="1"/>
    <n v="1"/>
    <n v="0"/>
    <n v="0"/>
    <n v="0"/>
    <n v="0"/>
    <n v="2"/>
    <n v="0"/>
    <m/>
    <n v="20.3"/>
  </r>
  <r>
    <x v="570"/>
    <d v="2025-03-06T00:00:00"/>
    <x v="0"/>
    <x v="1"/>
    <x v="1"/>
    <x v="2"/>
    <x v="1"/>
    <n v="0"/>
    <n v="0"/>
    <n v="0"/>
    <n v="0"/>
    <n v="0"/>
    <n v="1"/>
    <n v="0"/>
    <m/>
    <n v="57.8"/>
  </r>
  <r>
    <x v="571"/>
    <d v="2025-03-30T00:00:00"/>
    <x v="0"/>
    <x v="2"/>
    <x v="1"/>
    <x v="0"/>
    <x v="0"/>
    <n v="1"/>
    <n v="0"/>
    <n v="0"/>
    <n v="0"/>
    <n v="0"/>
    <n v="0"/>
    <n v="0"/>
    <m/>
    <n v="78.7"/>
  </r>
  <r>
    <x v="572"/>
    <d v="2025-05-31T00:00:00"/>
    <x v="0"/>
    <x v="3"/>
    <x v="0"/>
    <x v="1"/>
    <x v="1"/>
    <n v="1"/>
    <n v="0"/>
    <n v="0"/>
    <n v="0"/>
    <n v="0"/>
    <n v="0"/>
    <n v="0"/>
    <m/>
    <n v="63.6"/>
  </r>
  <r>
    <x v="573"/>
    <d v="2025-02-20T00:00:00"/>
    <x v="0"/>
    <x v="3"/>
    <x v="1"/>
    <x v="0"/>
    <x v="1"/>
    <n v="0"/>
    <n v="0"/>
    <n v="0"/>
    <n v="0"/>
    <n v="0"/>
    <n v="2"/>
    <n v="0"/>
    <m/>
    <n v="45.1"/>
  </r>
  <r>
    <x v="574"/>
    <d v="2025-01-13T00:00:00"/>
    <x v="0"/>
    <x v="1"/>
    <x v="1"/>
    <x v="4"/>
    <x v="1"/>
    <n v="0"/>
    <n v="0"/>
    <n v="0"/>
    <n v="0"/>
    <n v="0"/>
    <n v="0"/>
    <n v="0"/>
    <m/>
    <n v="77.5"/>
  </r>
  <r>
    <x v="575"/>
    <d v="2025-05-13T00:00:00"/>
    <x v="0"/>
    <x v="2"/>
    <x v="0"/>
    <x v="2"/>
    <x v="0"/>
    <n v="1"/>
    <n v="1"/>
    <n v="0"/>
    <n v="0"/>
    <n v="0"/>
    <n v="0"/>
    <n v="0"/>
    <m/>
    <n v="58"/>
  </r>
  <r>
    <x v="576"/>
    <d v="2025-04-21T00:00:00"/>
    <x v="0"/>
    <x v="3"/>
    <x v="2"/>
    <x v="1"/>
    <x v="1"/>
    <n v="1"/>
    <n v="0"/>
    <n v="0"/>
    <n v="0"/>
    <n v="0"/>
    <n v="0"/>
    <n v="0"/>
    <m/>
    <n v="68.099999999999994"/>
  </r>
  <r>
    <x v="577"/>
    <d v="2025-03-01T00:00:00"/>
    <x v="0"/>
    <x v="2"/>
    <x v="2"/>
    <x v="1"/>
    <x v="2"/>
    <n v="1"/>
    <n v="0"/>
    <n v="0"/>
    <n v="0"/>
    <n v="0"/>
    <n v="0"/>
    <n v="0"/>
    <m/>
    <n v="35.4"/>
  </r>
  <r>
    <x v="578"/>
    <d v="2025-03-10T00:00:00"/>
    <x v="0"/>
    <x v="1"/>
    <x v="2"/>
    <x v="1"/>
    <x v="1"/>
    <n v="0"/>
    <n v="0"/>
    <n v="0"/>
    <n v="0"/>
    <n v="0"/>
    <n v="0"/>
    <n v="0"/>
    <m/>
    <n v="47"/>
  </r>
  <r>
    <x v="579"/>
    <d v="2025-03-08T00:00:00"/>
    <x v="0"/>
    <x v="2"/>
    <x v="0"/>
    <x v="2"/>
    <x v="1"/>
    <n v="0"/>
    <n v="0"/>
    <n v="0"/>
    <n v="0"/>
    <n v="0"/>
    <n v="0"/>
    <n v="0"/>
    <m/>
    <n v="75"/>
  </r>
  <r>
    <x v="580"/>
    <d v="2025-05-26T00:00:00"/>
    <x v="0"/>
    <x v="3"/>
    <x v="0"/>
    <x v="2"/>
    <x v="1"/>
    <n v="1"/>
    <n v="1"/>
    <n v="1"/>
    <n v="0"/>
    <n v="0"/>
    <n v="3"/>
    <n v="0"/>
    <m/>
    <n v="50.2"/>
  </r>
  <r>
    <x v="581"/>
    <d v="2025-05-20T00:00:00"/>
    <x v="0"/>
    <x v="2"/>
    <x v="0"/>
    <x v="2"/>
    <x v="1"/>
    <n v="1"/>
    <n v="0"/>
    <n v="0"/>
    <n v="0"/>
    <n v="0"/>
    <n v="0"/>
    <n v="0"/>
    <m/>
    <n v="40.1"/>
  </r>
  <r>
    <x v="582"/>
    <d v="2025-03-22T00:00:00"/>
    <x v="0"/>
    <x v="1"/>
    <x v="0"/>
    <x v="2"/>
    <x v="1"/>
    <n v="0"/>
    <n v="0"/>
    <n v="0"/>
    <n v="0"/>
    <n v="0"/>
    <n v="0"/>
    <n v="0"/>
    <m/>
    <n v="61.1"/>
  </r>
  <r>
    <x v="583"/>
    <d v="2025-02-15T00:00:00"/>
    <x v="0"/>
    <x v="3"/>
    <x v="0"/>
    <x v="2"/>
    <x v="1"/>
    <n v="0"/>
    <n v="0"/>
    <n v="0"/>
    <n v="0"/>
    <n v="0"/>
    <n v="0"/>
    <n v="0"/>
    <m/>
    <n v="42.4"/>
  </r>
  <r>
    <x v="584"/>
    <d v="2025-01-08T00:00:00"/>
    <x v="0"/>
    <x v="0"/>
    <x v="1"/>
    <x v="4"/>
    <x v="1"/>
    <n v="0"/>
    <n v="0"/>
    <n v="0"/>
    <n v="0"/>
    <n v="0"/>
    <n v="1"/>
    <n v="0"/>
    <m/>
    <n v="46.6"/>
  </r>
  <r>
    <x v="585"/>
    <d v="2025-01-29T00:00:00"/>
    <x v="0"/>
    <x v="3"/>
    <x v="1"/>
    <x v="1"/>
    <x v="2"/>
    <n v="1"/>
    <n v="1"/>
    <n v="0"/>
    <n v="0"/>
    <n v="0"/>
    <n v="0"/>
    <n v="0"/>
    <m/>
    <n v="72.099999999999994"/>
  </r>
  <r>
    <x v="586"/>
    <d v="2025-05-07T00:00:00"/>
    <x v="0"/>
    <x v="2"/>
    <x v="2"/>
    <x v="1"/>
    <x v="1"/>
    <n v="0"/>
    <n v="0"/>
    <n v="0"/>
    <n v="0"/>
    <n v="0"/>
    <n v="0"/>
    <n v="0"/>
    <m/>
    <n v="21.5"/>
  </r>
  <r>
    <x v="587"/>
    <d v="2025-03-01T00:00:00"/>
    <x v="0"/>
    <x v="0"/>
    <x v="1"/>
    <x v="4"/>
    <x v="0"/>
    <n v="1"/>
    <n v="0"/>
    <n v="0"/>
    <n v="0"/>
    <n v="0"/>
    <n v="1"/>
    <n v="0"/>
    <m/>
    <n v="65.400000000000006"/>
  </r>
  <r>
    <x v="588"/>
    <d v="2025-04-20T00:00:00"/>
    <x v="0"/>
    <x v="2"/>
    <x v="1"/>
    <x v="1"/>
    <x v="1"/>
    <n v="1"/>
    <n v="1"/>
    <n v="0"/>
    <n v="0"/>
    <n v="0"/>
    <n v="0"/>
    <n v="0"/>
    <m/>
    <n v="53.3"/>
  </r>
  <r>
    <x v="589"/>
    <d v="2025-01-16T00:00:00"/>
    <x v="0"/>
    <x v="2"/>
    <x v="1"/>
    <x v="1"/>
    <x v="2"/>
    <n v="0"/>
    <n v="0"/>
    <n v="0"/>
    <n v="0"/>
    <n v="0"/>
    <n v="2"/>
    <n v="0"/>
    <m/>
    <n v="52.3"/>
  </r>
  <r>
    <x v="590"/>
    <d v="2025-04-04T00:00:00"/>
    <x v="0"/>
    <x v="2"/>
    <x v="1"/>
    <x v="2"/>
    <x v="1"/>
    <n v="1"/>
    <n v="0"/>
    <n v="0"/>
    <n v="0"/>
    <n v="0"/>
    <n v="0"/>
    <n v="0"/>
    <m/>
    <n v="62.5"/>
  </r>
  <r>
    <x v="591"/>
    <d v="2025-01-29T00:00:00"/>
    <x v="0"/>
    <x v="0"/>
    <x v="2"/>
    <x v="4"/>
    <x v="1"/>
    <n v="1"/>
    <n v="0"/>
    <n v="0"/>
    <n v="0"/>
    <n v="0"/>
    <n v="0"/>
    <n v="0"/>
    <m/>
    <n v="69.8"/>
  </r>
  <r>
    <x v="592"/>
    <d v="2025-04-19T00:00:00"/>
    <x v="0"/>
    <x v="2"/>
    <x v="1"/>
    <x v="0"/>
    <x v="1"/>
    <n v="1"/>
    <n v="0"/>
    <n v="0"/>
    <n v="0"/>
    <n v="0"/>
    <n v="0"/>
    <n v="0"/>
    <m/>
    <n v="68.2"/>
  </r>
  <r>
    <x v="593"/>
    <d v="2025-03-10T00:00:00"/>
    <x v="0"/>
    <x v="3"/>
    <x v="1"/>
    <x v="4"/>
    <x v="0"/>
    <n v="1"/>
    <n v="1"/>
    <n v="1"/>
    <n v="1"/>
    <n v="751.73"/>
    <n v="0"/>
    <n v="0"/>
    <n v="6"/>
    <n v="35.200000000000003"/>
  </r>
  <r>
    <x v="594"/>
    <d v="2025-05-10T00:00:00"/>
    <x v="0"/>
    <x v="3"/>
    <x v="1"/>
    <x v="4"/>
    <x v="0"/>
    <n v="0"/>
    <n v="0"/>
    <n v="0"/>
    <n v="0"/>
    <n v="0"/>
    <n v="0"/>
    <n v="0"/>
    <m/>
    <n v="59.3"/>
  </r>
  <r>
    <x v="595"/>
    <d v="2025-02-02T00:00:00"/>
    <x v="0"/>
    <x v="0"/>
    <x v="1"/>
    <x v="4"/>
    <x v="1"/>
    <n v="0"/>
    <n v="0"/>
    <n v="0"/>
    <n v="0"/>
    <n v="0"/>
    <n v="0"/>
    <n v="0"/>
    <m/>
    <n v="68.099999999999994"/>
  </r>
  <r>
    <x v="596"/>
    <d v="2025-05-06T00:00:00"/>
    <x v="0"/>
    <x v="0"/>
    <x v="0"/>
    <x v="1"/>
    <x v="1"/>
    <n v="1"/>
    <n v="1"/>
    <n v="0"/>
    <n v="0"/>
    <n v="0"/>
    <n v="0"/>
    <n v="0"/>
    <m/>
    <n v="74.8"/>
  </r>
  <r>
    <x v="597"/>
    <d v="2025-01-19T00:00:00"/>
    <x v="0"/>
    <x v="1"/>
    <x v="0"/>
    <x v="1"/>
    <x v="1"/>
    <n v="1"/>
    <n v="1"/>
    <n v="1"/>
    <n v="0"/>
    <n v="0"/>
    <n v="0"/>
    <n v="0"/>
    <m/>
    <n v="61.7"/>
  </r>
  <r>
    <x v="598"/>
    <d v="2025-01-02T00:00:00"/>
    <x v="0"/>
    <x v="0"/>
    <x v="1"/>
    <x v="1"/>
    <x v="1"/>
    <n v="1"/>
    <n v="0"/>
    <n v="0"/>
    <n v="0"/>
    <n v="0"/>
    <n v="0"/>
    <n v="0"/>
    <m/>
    <n v="24.3"/>
  </r>
  <r>
    <x v="599"/>
    <d v="2025-05-03T00:00:00"/>
    <x v="0"/>
    <x v="3"/>
    <x v="0"/>
    <x v="2"/>
    <x v="1"/>
    <n v="0"/>
    <n v="0"/>
    <n v="0"/>
    <n v="0"/>
    <n v="0"/>
    <n v="1"/>
    <n v="0"/>
    <m/>
    <n v="61.9"/>
  </r>
  <r>
    <x v="600"/>
    <d v="2025-05-27T00:00:00"/>
    <x v="0"/>
    <x v="2"/>
    <x v="0"/>
    <x v="3"/>
    <x v="2"/>
    <n v="0"/>
    <n v="0"/>
    <n v="0"/>
    <n v="0"/>
    <n v="0"/>
    <n v="2"/>
    <n v="0"/>
    <m/>
    <n v="41.7"/>
  </r>
  <r>
    <x v="601"/>
    <d v="2025-02-09T00:00:00"/>
    <x v="0"/>
    <x v="3"/>
    <x v="0"/>
    <x v="4"/>
    <x v="1"/>
    <n v="1"/>
    <n v="0"/>
    <n v="0"/>
    <n v="0"/>
    <n v="0"/>
    <n v="0"/>
    <n v="0"/>
    <m/>
    <n v="87.6"/>
  </r>
  <r>
    <x v="602"/>
    <d v="2025-05-18T00:00:00"/>
    <x v="0"/>
    <x v="2"/>
    <x v="1"/>
    <x v="2"/>
    <x v="1"/>
    <n v="1"/>
    <n v="0"/>
    <n v="0"/>
    <n v="0"/>
    <n v="0"/>
    <n v="0"/>
    <n v="0"/>
    <m/>
    <n v="30.8"/>
  </r>
  <r>
    <x v="603"/>
    <d v="2025-05-17T00:00:00"/>
    <x v="0"/>
    <x v="0"/>
    <x v="1"/>
    <x v="0"/>
    <x v="1"/>
    <n v="0"/>
    <n v="0"/>
    <n v="0"/>
    <n v="0"/>
    <n v="0"/>
    <n v="0"/>
    <n v="0"/>
    <m/>
    <n v="54"/>
  </r>
  <r>
    <x v="604"/>
    <d v="2025-01-25T00:00:00"/>
    <x v="0"/>
    <x v="2"/>
    <x v="0"/>
    <x v="3"/>
    <x v="0"/>
    <n v="1"/>
    <n v="0"/>
    <n v="0"/>
    <n v="0"/>
    <n v="0"/>
    <n v="1"/>
    <n v="0"/>
    <m/>
    <n v="54.5"/>
  </r>
  <r>
    <x v="605"/>
    <d v="2025-05-04T00:00:00"/>
    <x v="0"/>
    <x v="1"/>
    <x v="1"/>
    <x v="2"/>
    <x v="2"/>
    <n v="1"/>
    <n v="1"/>
    <n v="0"/>
    <n v="0"/>
    <n v="0"/>
    <n v="0"/>
    <n v="0"/>
    <m/>
    <n v="61.3"/>
  </r>
  <r>
    <x v="606"/>
    <d v="2025-04-14T00:00:00"/>
    <x v="0"/>
    <x v="1"/>
    <x v="1"/>
    <x v="1"/>
    <x v="1"/>
    <n v="1"/>
    <n v="0"/>
    <n v="0"/>
    <n v="0"/>
    <n v="0"/>
    <n v="0"/>
    <n v="0"/>
    <m/>
    <n v="62.7"/>
  </r>
  <r>
    <x v="607"/>
    <d v="2025-04-18T00:00:00"/>
    <x v="0"/>
    <x v="3"/>
    <x v="1"/>
    <x v="2"/>
    <x v="1"/>
    <n v="1"/>
    <n v="1"/>
    <n v="0"/>
    <n v="0"/>
    <n v="0"/>
    <n v="0"/>
    <n v="0"/>
    <m/>
    <n v="43.1"/>
  </r>
  <r>
    <x v="608"/>
    <d v="2025-02-24T00:00:00"/>
    <x v="0"/>
    <x v="3"/>
    <x v="0"/>
    <x v="0"/>
    <x v="0"/>
    <n v="0"/>
    <n v="0"/>
    <n v="0"/>
    <n v="0"/>
    <n v="0"/>
    <n v="0"/>
    <n v="0"/>
    <m/>
    <n v="59.9"/>
  </r>
  <r>
    <x v="609"/>
    <d v="2025-04-19T00:00:00"/>
    <x v="0"/>
    <x v="0"/>
    <x v="2"/>
    <x v="2"/>
    <x v="1"/>
    <n v="1"/>
    <n v="1"/>
    <n v="1"/>
    <n v="0"/>
    <n v="0"/>
    <n v="0"/>
    <n v="0"/>
    <m/>
    <n v="55.7"/>
  </r>
  <r>
    <x v="610"/>
    <d v="2025-03-07T00:00:00"/>
    <x v="0"/>
    <x v="3"/>
    <x v="0"/>
    <x v="1"/>
    <x v="0"/>
    <n v="1"/>
    <n v="0"/>
    <n v="0"/>
    <n v="0"/>
    <n v="0"/>
    <n v="0"/>
    <n v="0"/>
    <m/>
    <n v="37.1"/>
  </r>
  <r>
    <x v="611"/>
    <d v="2025-03-09T00:00:00"/>
    <x v="0"/>
    <x v="2"/>
    <x v="1"/>
    <x v="1"/>
    <x v="0"/>
    <n v="0"/>
    <n v="0"/>
    <n v="0"/>
    <n v="0"/>
    <n v="0"/>
    <n v="1"/>
    <n v="0"/>
    <m/>
    <n v="46.7"/>
  </r>
  <r>
    <x v="612"/>
    <d v="2025-05-01T00:00:00"/>
    <x v="0"/>
    <x v="3"/>
    <x v="0"/>
    <x v="1"/>
    <x v="0"/>
    <n v="1"/>
    <n v="0"/>
    <n v="0"/>
    <n v="0"/>
    <n v="0"/>
    <n v="0"/>
    <n v="0"/>
    <m/>
    <n v="54.1"/>
  </r>
  <r>
    <x v="613"/>
    <d v="2025-02-09T00:00:00"/>
    <x v="0"/>
    <x v="1"/>
    <x v="0"/>
    <x v="1"/>
    <x v="2"/>
    <n v="1"/>
    <n v="1"/>
    <n v="1"/>
    <n v="0"/>
    <n v="0"/>
    <n v="0"/>
    <n v="0"/>
    <m/>
    <n v="56.1"/>
  </r>
  <r>
    <x v="614"/>
    <d v="2025-05-22T00:00:00"/>
    <x v="0"/>
    <x v="1"/>
    <x v="1"/>
    <x v="3"/>
    <x v="2"/>
    <n v="0"/>
    <n v="0"/>
    <n v="0"/>
    <n v="0"/>
    <n v="0"/>
    <n v="0"/>
    <n v="0"/>
    <m/>
    <n v="23.6"/>
  </r>
  <r>
    <x v="615"/>
    <d v="2025-02-11T00:00:00"/>
    <x v="0"/>
    <x v="0"/>
    <x v="1"/>
    <x v="1"/>
    <x v="2"/>
    <n v="0"/>
    <n v="0"/>
    <n v="0"/>
    <n v="0"/>
    <n v="0"/>
    <n v="0"/>
    <n v="0"/>
    <m/>
    <n v="54.7"/>
  </r>
  <r>
    <x v="616"/>
    <d v="2025-04-12T00:00:00"/>
    <x v="0"/>
    <x v="0"/>
    <x v="1"/>
    <x v="3"/>
    <x v="0"/>
    <n v="0"/>
    <n v="0"/>
    <n v="0"/>
    <n v="0"/>
    <n v="0"/>
    <n v="2"/>
    <n v="0"/>
    <m/>
    <n v="50.4"/>
  </r>
  <r>
    <x v="617"/>
    <d v="2025-03-01T00:00:00"/>
    <x v="0"/>
    <x v="1"/>
    <x v="1"/>
    <x v="4"/>
    <x v="1"/>
    <n v="1"/>
    <n v="0"/>
    <n v="0"/>
    <n v="0"/>
    <n v="0"/>
    <n v="0"/>
    <n v="0"/>
    <m/>
    <n v="54.5"/>
  </r>
  <r>
    <x v="618"/>
    <d v="2025-03-17T00:00:00"/>
    <x v="0"/>
    <x v="1"/>
    <x v="0"/>
    <x v="0"/>
    <x v="0"/>
    <n v="0"/>
    <n v="0"/>
    <n v="0"/>
    <n v="0"/>
    <n v="0"/>
    <n v="0"/>
    <n v="0"/>
    <m/>
    <n v="58"/>
  </r>
  <r>
    <x v="619"/>
    <d v="2025-01-11T00:00:00"/>
    <x v="0"/>
    <x v="0"/>
    <x v="1"/>
    <x v="2"/>
    <x v="1"/>
    <n v="0"/>
    <n v="0"/>
    <n v="0"/>
    <n v="0"/>
    <n v="0"/>
    <n v="0"/>
    <n v="0"/>
    <m/>
    <n v="42.9"/>
  </r>
  <r>
    <x v="620"/>
    <d v="2025-02-17T00:00:00"/>
    <x v="0"/>
    <x v="3"/>
    <x v="1"/>
    <x v="4"/>
    <x v="2"/>
    <n v="1"/>
    <n v="0"/>
    <n v="0"/>
    <n v="0"/>
    <n v="0"/>
    <n v="0"/>
    <n v="0"/>
    <m/>
    <n v="51.1"/>
  </r>
  <r>
    <x v="621"/>
    <d v="2025-03-25T00:00:00"/>
    <x v="0"/>
    <x v="2"/>
    <x v="1"/>
    <x v="2"/>
    <x v="0"/>
    <n v="1"/>
    <n v="1"/>
    <n v="0"/>
    <n v="0"/>
    <n v="0"/>
    <n v="0"/>
    <n v="0"/>
    <m/>
    <n v="51.8"/>
  </r>
  <r>
    <x v="622"/>
    <d v="2025-05-01T00:00:00"/>
    <x v="0"/>
    <x v="3"/>
    <x v="1"/>
    <x v="2"/>
    <x v="1"/>
    <n v="0"/>
    <n v="0"/>
    <n v="0"/>
    <n v="0"/>
    <n v="0"/>
    <n v="0"/>
    <n v="0"/>
    <m/>
    <n v="67.7"/>
  </r>
  <r>
    <x v="623"/>
    <d v="2025-04-02T00:00:00"/>
    <x v="0"/>
    <x v="2"/>
    <x v="1"/>
    <x v="1"/>
    <x v="0"/>
    <n v="0"/>
    <n v="0"/>
    <n v="0"/>
    <n v="0"/>
    <n v="0"/>
    <n v="0"/>
    <n v="0"/>
    <m/>
    <n v="75.8"/>
  </r>
  <r>
    <x v="624"/>
    <d v="2025-04-05T00:00:00"/>
    <x v="0"/>
    <x v="2"/>
    <x v="1"/>
    <x v="0"/>
    <x v="1"/>
    <n v="1"/>
    <n v="1"/>
    <n v="0"/>
    <n v="0"/>
    <n v="0"/>
    <n v="0"/>
    <n v="0"/>
    <m/>
    <n v="72.8"/>
  </r>
  <r>
    <x v="625"/>
    <d v="2025-02-24T00:00:00"/>
    <x v="0"/>
    <x v="0"/>
    <x v="0"/>
    <x v="4"/>
    <x v="1"/>
    <n v="1"/>
    <n v="1"/>
    <n v="0"/>
    <n v="0"/>
    <n v="0"/>
    <n v="0"/>
    <n v="0"/>
    <m/>
    <n v="54.4"/>
  </r>
  <r>
    <x v="626"/>
    <d v="2025-01-24T00:00:00"/>
    <x v="0"/>
    <x v="1"/>
    <x v="1"/>
    <x v="2"/>
    <x v="0"/>
    <n v="1"/>
    <n v="0"/>
    <n v="0"/>
    <n v="0"/>
    <n v="0"/>
    <n v="0"/>
    <n v="0"/>
    <m/>
    <n v="51.8"/>
  </r>
  <r>
    <x v="627"/>
    <d v="2025-04-10T00:00:00"/>
    <x v="0"/>
    <x v="3"/>
    <x v="1"/>
    <x v="2"/>
    <x v="1"/>
    <n v="0"/>
    <n v="0"/>
    <n v="0"/>
    <n v="0"/>
    <n v="0"/>
    <n v="0"/>
    <n v="0"/>
    <m/>
    <n v="40.299999999999997"/>
  </r>
  <r>
    <x v="628"/>
    <d v="2025-02-19T00:00:00"/>
    <x v="0"/>
    <x v="3"/>
    <x v="1"/>
    <x v="3"/>
    <x v="1"/>
    <n v="1"/>
    <n v="1"/>
    <n v="1"/>
    <n v="0"/>
    <n v="0"/>
    <n v="0"/>
    <n v="0"/>
    <m/>
    <n v="61.7"/>
  </r>
  <r>
    <x v="629"/>
    <d v="2025-03-22T00:00:00"/>
    <x v="0"/>
    <x v="0"/>
    <x v="1"/>
    <x v="4"/>
    <x v="1"/>
    <n v="0"/>
    <n v="0"/>
    <n v="0"/>
    <n v="0"/>
    <n v="0"/>
    <n v="0"/>
    <n v="0"/>
    <m/>
    <n v="45"/>
  </r>
  <r>
    <x v="630"/>
    <d v="2025-04-08T00:00:00"/>
    <x v="0"/>
    <x v="2"/>
    <x v="0"/>
    <x v="1"/>
    <x v="2"/>
    <n v="1"/>
    <n v="1"/>
    <n v="1"/>
    <n v="0"/>
    <n v="0"/>
    <n v="0"/>
    <n v="0"/>
    <m/>
    <n v="60"/>
  </r>
  <r>
    <x v="631"/>
    <d v="2025-03-16T00:00:00"/>
    <x v="0"/>
    <x v="0"/>
    <x v="1"/>
    <x v="4"/>
    <x v="1"/>
    <n v="1"/>
    <n v="0"/>
    <n v="0"/>
    <n v="0"/>
    <n v="0"/>
    <n v="0"/>
    <n v="0"/>
    <m/>
    <m/>
  </r>
  <r>
    <x v="632"/>
    <d v="2025-03-07T00:00:00"/>
    <x v="0"/>
    <x v="2"/>
    <x v="1"/>
    <x v="2"/>
    <x v="1"/>
    <n v="1"/>
    <n v="0"/>
    <n v="0"/>
    <n v="0"/>
    <n v="0"/>
    <n v="0"/>
    <n v="0"/>
    <m/>
    <n v="55.5"/>
  </r>
  <r>
    <x v="633"/>
    <d v="2025-03-16T00:00:00"/>
    <x v="0"/>
    <x v="3"/>
    <x v="1"/>
    <x v="3"/>
    <x v="0"/>
    <n v="0"/>
    <n v="0"/>
    <n v="0"/>
    <n v="0"/>
    <n v="0"/>
    <n v="0"/>
    <n v="0"/>
    <m/>
    <n v="51.8"/>
  </r>
  <r>
    <x v="634"/>
    <d v="2025-05-26T00:00:00"/>
    <x v="0"/>
    <x v="2"/>
    <x v="1"/>
    <x v="5"/>
    <x v="2"/>
    <n v="1"/>
    <n v="0"/>
    <n v="0"/>
    <n v="0"/>
    <n v="0"/>
    <n v="3"/>
    <n v="0"/>
    <m/>
    <n v="56"/>
  </r>
  <r>
    <x v="635"/>
    <d v="2025-01-14T00:00:00"/>
    <x v="0"/>
    <x v="1"/>
    <x v="1"/>
    <x v="1"/>
    <x v="1"/>
    <n v="0"/>
    <n v="0"/>
    <n v="0"/>
    <n v="0"/>
    <n v="0"/>
    <n v="0"/>
    <n v="0"/>
    <m/>
    <n v="52.5"/>
  </r>
  <r>
    <x v="636"/>
    <d v="2025-03-30T00:00:00"/>
    <x v="0"/>
    <x v="1"/>
    <x v="1"/>
    <x v="2"/>
    <x v="2"/>
    <n v="1"/>
    <n v="0"/>
    <n v="0"/>
    <n v="0"/>
    <n v="0"/>
    <n v="0"/>
    <n v="0"/>
    <m/>
    <n v="42.5"/>
  </r>
  <r>
    <x v="637"/>
    <d v="2025-05-12T00:00:00"/>
    <x v="0"/>
    <x v="2"/>
    <x v="0"/>
    <x v="0"/>
    <x v="1"/>
    <n v="1"/>
    <n v="1"/>
    <n v="1"/>
    <n v="0"/>
    <n v="0"/>
    <n v="0"/>
    <n v="0"/>
    <m/>
    <n v="65.3"/>
  </r>
  <r>
    <x v="638"/>
    <d v="2025-05-10T00:00:00"/>
    <x v="0"/>
    <x v="1"/>
    <x v="1"/>
    <x v="2"/>
    <x v="1"/>
    <n v="0"/>
    <n v="0"/>
    <n v="0"/>
    <n v="0"/>
    <n v="0"/>
    <n v="0"/>
    <n v="0"/>
    <m/>
    <n v="37.6"/>
  </r>
  <r>
    <x v="639"/>
    <d v="2025-04-09T00:00:00"/>
    <x v="0"/>
    <x v="2"/>
    <x v="1"/>
    <x v="4"/>
    <x v="0"/>
    <n v="0"/>
    <n v="0"/>
    <n v="0"/>
    <n v="0"/>
    <n v="0"/>
    <n v="0"/>
    <n v="0"/>
    <m/>
    <n v="57.8"/>
  </r>
  <r>
    <x v="640"/>
    <d v="2025-05-26T00:00:00"/>
    <x v="0"/>
    <x v="0"/>
    <x v="1"/>
    <x v="4"/>
    <x v="1"/>
    <n v="1"/>
    <n v="0"/>
    <n v="0"/>
    <n v="0"/>
    <n v="0"/>
    <n v="0"/>
    <n v="0"/>
    <m/>
    <n v="52.7"/>
  </r>
  <r>
    <x v="641"/>
    <d v="2025-02-12T00:00:00"/>
    <x v="0"/>
    <x v="0"/>
    <x v="1"/>
    <x v="1"/>
    <x v="1"/>
    <n v="1"/>
    <n v="0"/>
    <n v="0"/>
    <n v="0"/>
    <n v="0"/>
    <n v="0"/>
    <n v="0"/>
    <m/>
    <n v="51.7"/>
  </r>
  <r>
    <x v="642"/>
    <d v="2025-04-01T00:00:00"/>
    <x v="0"/>
    <x v="0"/>
    <x v="0"/>
    <x v="0"/>
    <x v="0"/>
    <n v="0"/>
    <n v="0"/>
    <n v="0"/>
    <n v="0"/>
    <n v="0"/>
    <n v="0"/>
    <n v="0"/>
    <m/>
    <n v="57"/>
  </r>
  <r>
    <x v="643"/>
    <d v="2025-01-18T00:00:00"/>
    <x v="0"/>
    <x v="3"/>
    <x v="0"/>
    <x v="1"/>
    <x v="0"/>
    <n v="0"/>
    <n v="0"/>
    <n v="0"/>
    <n v="0"/>
    <n v="0"/>
    <n v="0"/>
    <n v="0"/>
    <m/>
    <n v="39.5"/>
  </r>
  <r>
    <x v="644"/>
    <d v="2025-04-06T00:00:00"/>
    <x v="0"/>
    <x v="2"/>
    <x v="2"/>
    <x v="1"/>
    <x v="1"/>
    <n v="1"/>
    <n v="0"/>
    <n v="0"/>
    <n v="0"/>
    <n v="0"/>
    <n v="0"/>
    <n v="0"/>
    <m/>
    <n v="76.5"/>
  </r>
  <r>
    <x v="645"/>
    <d v="2025-04-17T00:00:00"/>
    <x v="0"/>
    <x v="2"/>
    <x v="1"/>
    <x v="1"/>
    <x v="1"/>
    <n v="1"/>
    <n v="0"/>
    <n v="0"/>
    <n v="0"/>
    <n v="0"/>
    <n v="0"/>
    <n v="0"/>
    <m/>
    <n v="32.4"/>
  </r>
  <r>
    <x v="646"/>
    <d v="2025-02-07T00:00:00"/>
    <x v="0"/>
    <x v="0"/>
    <x v="0"/>
    <x v="2"/>
    <x v="1"/>
    <n v="0"/>
    <n v="0"/>
    <n v="0"/>
    <n v="0"/>
    <n v="0"/>
    <n v="0"/>
    <n v="0"/>
    <m/>
    <n v="58.6"/>
  </r>
  <r>
    <x v="647"/>
    <d v="2025-03-04T00:00:00"/>
    <x v="0"/>
    <x v="2"/>
    <x v="1"/>
    <x v="1"/>
    <x v="0"/>
    <n v="1"/>
    <n v="0"/>
    <n v="0"/>
    <n v="0"/>
    <n v="0"/>
    <n v="0"/>
    <n v="0"/>
    <m/>
    <n v="78.599999999999994"/>
  </r>
  <r>
    <x v="648"/>
    <d v="2025-02-17T00:00:00"/>
    <x v="0"/>
    <x v="0"/>
    <x v="0"/>
    <x v="1"/>
    <x v="2"/>
    <n v="0"/>
    <n v="0"/>
    <n v="0"/>
    <n v="0"/>
    <n v="0"/>
    <n v="0"/>
    <n v="0"/>
    <m/>
    <n v="54.5"/>
  </r>
  <r>
    <x v="649"/>
    <d v="2025-05-06T00:00:00"/>
    <x v="0"/>
    <x v="3"/>
    <x v="1"/>
    <x v="3"/>
    <x v="1"/>
    <n v="1"/>
    <n v="0"/>
    <n v="0"/>
    <n v="0"/>
    <n v="0"/>
    <n v="0"/>
    <n v="0"/>
    <m/>
    <n v="57.6"/>
  </r>
  <r>
    <x v="650"/>
    <d v="2025-03-25T00:00:00"/>
    <x v="0"/>
    <x v="3"/>
    <x v="1"/>
    <x v="3"/>
    <x v="2"/>
    <n v="0"/>
    <n v="0"/>
    <n v="0"/>
    <n v="0"/>
    <n v="0"/>
    <n v="0"/>
    <n v="0"/>
    <m/>
    <n v="52.8"/>
  </r>
  <r>
    <x v="651"/>
    <d v="2025-03-04T00:00:00"/>
    <x v="0"/>
    <x v="1"/>
    <x v="1"/>
    <x v="0"/>
    <x v="2"/>
    <n v="1"/>
    <n v="0"/>
    <n v="0"/>
    <n v="0"/>
    <n v="0"/>
    <n v="0"/>
    <n v="0"/>
    <m/>
    <n v="52.9"/>
  </r>
  <r>
    <x v="652"/>
    <d v="2025-05-09T00:00:00"/>
    <x v="0"/>
    <x v="1"/>
    <x v="1"/>
    <x v="1"/>
    <x v="1"/>
    <n v="1"/>
    <n v="0"/>
    <n v="0"/>
    <n v="0"/>
    <n v="0"/>
    <n v="1"/>
    <n v="0"/>
    <m/>
    <n v="55.9"/>
  </r>
  <r>
    <x v="653"/>
    <d v="2025-05-17T00:00:00"/>
    <x v="0"/>
    <x v="1"/>
    <x v="1"/>
    <x v="3"/>
    <x v="2"/>
    <n v="1"/>
    <n v="0"/>
    <n v="0"/>
    <n v="0"/>
    <n v="0"/>
    <n v="0"/>
    <n v="0"/>
    <m/>
    <n v="74.2"/>
  </r>
  <r>
    <x v="654"/>
    <d v="2025-01-12T00:00:00"/>
    <x v="0"/>
    <x v="1"/>
    <x v="1"/>
    <x v="1"/>
    <x v="1"/>
    <n v="0"/>
    <n v="0"/>
    <n v="0"/>
    <n v="0"/>
    <n v="0"/>
    <n v="0"/>
    <n v="0"/>
    <m/>
    <n v="46.3"/>
  </r>
  <r>
    <x v="655"/>
    <d v="2025-03-12T00:00:00"/>
    <x v="0"/>
    <x v="1"/>
    <x v="1"/>
    <x v="1"/>
    <x v="2"/>
    <n v="1"/>
    <n v="0"/>
    <n v="0"/>
    <n v="0"/>
    <n v="0"/>
    <n v="0"/>
    <n v="0"/>
    <m/>
    <n v="62"/>
  </r>
  <r>
    <x v="656"/>
    <d v="2025-04-02T00:00:00"/>
    <x v="0"/>
    <x v="3"/>
    <x v="1"/>
    <x v="1"/>
    <x v="0"/>
    <n v="0"/>
    <n v="0"/>
    <n v="0"/>
    <n v="0"/>
    <n v="0"/>
    <n v="0"/>
    <n v="0"/>
    <m/>
    <n v="55.6"/>
  </r>
  <r>
    <x v="657"/>
    <d v="2025-01-13T00:00:00"/>
    <x v="0"/>
    <x v="3"/>
    <x v="1"/>
    <x v="1"/>
    <x v="0"/>
    <n v="1"/>
    <n v="0"/>
    <n v="0"/>
    <n v="0"/>
    <n v="0"/>
    <n v="0"/>
    <n v="0"/>
    <m/>
    <n v="62.8"/>
  </r>
  <r>
    <x v="658"/>
    <d v="2025-03-07T00:00:00"/>
    <x v="0"/>
    <x v="2"/>
    <x v="1"/>
    <x v="3"/>
    <x v="1"/>
    <n v="0"/>
    <n v="0"/>
    <n v="0"/>
    <n v="0"/>
    <n v="0"/>
    <n v="0"/>
    <n v="0"/>
    <m/>
    <n v="73.099999999999994"/>
  </r>
  <r>
    <x v="659"/>
    <d v="2025-04-20T00:00:00"/>
    <x v="0"/>
    <x v="3"/>
    <x v="0"/>
    <x v="4"/>
    <x v="1"/>
    <n v="1"/>
    <n v="1"/>
    <n v="1"/>
    <n v="1"/>
    <n v="347.52"/>
    <n v="0"/>
    <n v="0"/>
    <n v="2"/>
    <n v="57.2"/>
  </r>
  <r>
    <x v="660"/>
    <d v="2025-01-07T00:00:00"/>
    <x v="0"/>
    <x v="3"/>
    <x v="1"/>
    <x v="2"/>
    <x v="1"/>
    <n v="1"/>
    <n v="0"/>
    <n v="0"/>
    <n v="0"/>
    <n v="0"/>
    <n v="0"/>
    <n v="0"/>
    <m/>
    <n v="67.900000000000006"/>
  </r>
  <r>
    <x v="661"/>
    <d v="2025-04-23T00:00:00"/>
    <x v="0"/>
    <x v="3"/>
    <x v="1"/>
    <x v="3"/>
    <x v="1"/>
    <n v="0"/>
    <n v="0"/>
    <n v="0"/>
    <n v="0"/>
    <n v="0"/>
    <n v="0"/>
    <n v="0"/>
    <m/>
    <n v="50.1"/>
  </r>
  <r>
    <x v="662"/>
    <d v="2025-05-26T00:00:00"/>
    <x v="0"/>
    <x v="0"/>
    <x v="1"/>
    <x v="2"/>
    <x v="0"/>
    <n v="0"/>
    <n v="0"/>
    <n v="0"/>
    <n v="0"/>
    <n v="0"/>
    <n v="0"/>
    <n v="0"/>
    <m/>
    <n v="67.8"/>
  </r>
  <r>
    <x v="663"/>
    <d v="2025-03-17T00:00:00"/>
    <x v="0"/>
    <x v="0"/>
    <x v="0"/>
    <x v="4"/>
    <x v="0"/>
    <n v="1"/>
    <n v="1"/>
    <n v="1"/>
    <n v="0"/>
    <n v="0"/>
    <n v="0"/>
    <n v="0"/>
    <m/>
    <n v="60.8"/>
  </r>
  <r>
    <x v="664"/>
    <d v="2025-05-17T00:00:00"/>
    <x v="0"/>
    <x v="0"/>
    <x v="0"/>
    <x v="2"/>
    <x v="0"/>
    <n v="1"/>
    <n v="0"/>
    <n v="0"/>
    <n v="0"/>
    <n v="0"/>
    <n v="3"/>
    <n v="0"/>
    <m/>
    <n v="33.700000000000003"/>
  </r>
  <r>
    <x v="665"/>
    <d v="2025-02-21T00:00:00"/>
    <x v="0"/>
    <x v="0"/>
    <x v="1"/>
    <x v="2"/>
    <x v="0"/>
    <n v="0"/>
    <n v="0"/>
    <n v="0"/>
    <n v="0"/>
    <n v="0"/>
    <n v="0"/>
    <n v="0"/>
    <m/>
    <n v="45.2"/>
  </r>
  <r>
    <x v="666"/>
    <d v="2025-02-25T00:00:00"/>
    <x v="0"/>
    <x v="2"/>
    <x v="0"/>
    <x v="2"/>
    <x v="2"/>
    <n v="0"/>
    <n v="0"/>
    <n v="0"/>
    <n v="0"/>
    <n v="0"/>
    <n v="0"/>
    <n v="0"/>
    <m/>
    <n v="48.2"/>
  </r>
  <r>
    <x v="667"/>
    <d v="2025-01-30T00:00:00"/>
    <x v="0"/>
    <x v="3"/>
    <x v="1"/>
    <x v="4"/>
    <x v="1"/>
    <n v="1"/>
    <n v="1"/>
    <n v="0"/>
    <n v="0"/>
    <n v="0"/>
    <n v="1"/>
    <n v="0"/>
    <m/>
    <n v="44.8"/>
  </r>
  <r>
    <x v="668"/>
    <d v="2025-02-17T00:00:00"/>
    <x v="0"/>
    <x v="0"/>
    <x v="2"/>
    <x v="4"/>
    <x v="0"/>
    <n v="0"/>
    <n v="0"/>
    <n v="0"/>
    <n v="0"/>
    <n v="0"/>
    <n v="0"/>
    <n v="0"/>
    <m/>
    <n v="52.1"/>
  </r>
  <r>
    <x v="669"/>
    <d v="2025-05-17T00:00:00"/>
    <x v="0"/>
    <x v="0"/>
    <x v="0"/>
    <x v="2"/>
    <x v="0"/>
    <n v="1"/>
    <n v="0"/>
    <n v="0"/>
    <n v="0"/>
    <n v="0"/>
    <n v="0"/>
    <n v="0"/>
    <m/>
    <n v="30.7"/>
  </r>
  <r>
    <x v="670"/>
    <d v="2025-04-30T00:00:00"/>
    <x v="0"/>
    <x v="2"/>
    <x v="0"/>
    <x v="2"/>
    <x v="1"/>
    <n v="1"/>
    <n v="0"/>
    <n v="0"/>
    <n v="0"/>
    <n v="0"/>
    <n v="0"/>
    <n v="0"/>
    <m/>
    <n v="58.4"/>
  </r>
  <r>
    <x v="671"/>
    <d v="2025-03-22T00:00:00"/>
    <x v="0"/>
    <x v="1"/>
    <x v="1"/>
    <x v="3"/>
    <x v="1"/>
    <n v="1"/>
    <n v="1"/>
    <n v="0"/>
    <n v="0"/>
    <n v="0"/>
    <n v="0"/>
    <n v="0"/>
    <m/>
    <n v="52.6"/>
  </r>
  <r>
    <x v="672"/>
    <d v="2025-01-10T00:00:00"/>
    <x v="0"/>
    <x v="1"/>
    <x v="3"/>
    <x v="2"/>
    <x v="1"/>
    <n v="1"/>
    <n v="0"/>
    <n v="0"/>
    <n v="0"/>
    <n v="0"/>
    <n v="1"/>
    <n v="0"/>
    <m/>
    <n v="19.100000000000001"/>
  </r>
  <r>
    <x v="673"/>
    <d v="2025-03-21T00:00:00"/>
    <x v="0"/>
    <x v="3"/>
    <x v="3"/>
    <x v="2"/>
    <x v="1"/>
    <n v="1"/>
    <n v="0"/>
    <n v="0"/>
    <n v="0"/>
    <n v="0"/>
    <n v="0"/>
    <n v="0"/>
    <m/>
    <n v="36.799999999999997"/>
  </r>
  <r>
    <x v="674"/>
    <d v="2025-05-12T00:00:00"/>
    <x v="0"/>
    <x v="0"/>
    <x v="0"/>
    <x v="2"/>
    <x v="0"/>
    <n v="0"/>
    <n v="0"/>
    <n v="0"/>
    <n v="0"/>
    <n v="0"/>
    <n v="0"/>
    <n v="0"/>
    <m/>
    <n v="68.5"/>
  </r>
  <r>
    <x v="675"/>
    <d v="2025-05-24T00:00:00"/>
    <x v="0"/>
    <x v="1"/>
    <x v="1"/>
    <x v="2"/>
    <x v="1"/>
    <n v="1"/>
    <n v="1"/>
    <n v="1"/>
    <n v="0"/>
    <n v="0"/>
    <n v="0"/>
    <n v="0"/>
    <m/>
    <n v="40.1"/>
  </r>
  <r>
    <x v="676"/>
    <d v="2025-05-03T00:00:00"/>
    <x v="0"/>
    <x v="1"/>
    <x v="2"/>
    <x v="1"/>
    <x v="1"/>
    <n v="1"/>
    <n v="0"/>
    <n v="0"/>
    <n v="0"/>
    <n v="0"/>
    <n v="0"/>
    <n v="0"/>
    <m/>
    <n v="47.5"/>
  </r>
  <r>
    <x v="677"/>
    <d v="2025-01-14T00:00:00"/>
    <x v="0"/>
    <x v="3"/>
    <x v="1"/>
    <x v="1"/>
    <x v="0"/>
    <n v="1"/>
    <n v="0"/>
    <n v="0"/>
    <n v="0"/>
    <n v="0"/>
    <n v="0"/>
    <n v="0"/>
    <m/>
    <n v="77.099999999999994"/>
  </r>
  <r>
    <x v="678"/>
    <d v="2025-03-27T00:00:00"/>
    <x v="0"/>
    <x v="1"/>
    <x v="1"/>
    <x v="4"/>
    <x v="0"/>
    <n v="1"/>
    <n v="0"/>
    <n v="0"/>
    <n v="0"/>
    <n v="0"/>
    <n v="0"/>
    <n v="0"/>
    <m/>
    <n v="75.900000000000006"/>
  </r>
  <r>
    <x v="679"/>
    <d v="2025-02-28T00:00:00"/>
    <x v="0"/>
    <x v="0"/>
    <x v="0"/>
    <x v="3"/>
    <x v="2"/>
    <n v="0"/>
    <n v="0"/>
    <n v="0"/>
    <n v="0"/>
    <n v="0"/>
    <n v="1"/>
    <n v="0"/>
    <m/>
    <n v="52"/>
  </r>
  <r>
    <x v="680"/>
    <d v="2025-05-12T00:00:00"/>
    <x v="0"/>
    <x v="1"/>
    <x v="0"/>
    <x v="3"/>
    <x v="2"/>
    <n v="1"/>
    <n v="1"/>
    <n v="1"/>
    <n v="0"/>
    <n v="0"/>
    <n v="0"/>
    <n v="0"/>
    <m/>
    <n v="64.900000000000006"/>
  </r>
  <r>
    <x v="681"/>
    <d v="2025-03-14T00:00:00"/>
    <x v="0"/>
    <x v="0"/>
    <x v="1"/>
    <x v="1"/>
    <x v="1"/>
    <n v="1"/>
    <n v="0"/>
    <n v="0"/>
    <n v="0"/>
    <n v="0"/>
    <n v="0"/>
    <n v="0"/>
    <m/>
    <n v="48.2"/>
  </r>
  <r>
    <x v="682"/>
    <d v="2025-05-20T00:00:00"/>
    <x v="0"/>
    <x v="2"/>
    <x v="1"/>
    <x v="1"/>
    <x v="0"/>
    <n v="0"/>
    <n v="0"/>
    <n v="0"/>
    <n v="0"/>
    <n v="0"/>
    <n v="0"/>
    <n v="0"/>
    <m/>
    <n v="42.1"/>
  </r>
  <r>
    <x v="683"/>
    <d v="2025-02-24T00:00:00"/>
    <x v="0"/>
    <x v="3"/>
    <x v="0"/>
    <x v="3"/>
    <x v="1"/>
    <n v="0"/>
    <n v="0"/>
    <n v="0"/>
    <n v="0"/>
    <n v="0"/>
    <n v="0"/>
    <n v="0"/>
    <m/>
    <n v="27.6"/>
  </r>
  <r>
    <x v="684"/>
    <d v="2025-02-13T00:00:00"/>
    <x v="0"/>
    <x v="1"/>
    <x v="1"/>
    <x v="1"/>
    <x v="2"/>
    <n v="1"/>
    <n v="0"/>
    <n v="0"/>
    <n v="0"/>
    <n v="0"/>
    <n v="1"/>
    <n v="0"/>
    <m/>
    <n v="68.5"/>
  </r>
  <r>
    <x v="685"/>
    <d v="2025-02-06T00:00:00"/>
    <x v="0"/>
    <x v="3"/>
    <x v="0"/>
    <x v="1"/>
    <x v="1"/>
    <n v="1"/>
    <n v="1"/>
    <n v="1"/>
    <n v="0"/>
    <n v="0"/>
    <n v="0"/>
    <n v="0"/>
    <m/>
    <n v="59.2"/>
  </r>
  <r>
    <x v="686"/>
    <d v="2025-03-02T00:00:00"/>
    <x v="0"/>
    <x v="0"/>
    <x v="1"/>
    <x v="4"/>
    <x v="0"/>
    <n v="1"/>
    <n v="0"/>
    <n v="0"/>
    <n v="0"/>
    <n v="0"/>
    <n v="0"/>
    <n v="0"/>
    <m/>
    <n v="63.3"/>
  </r>
  <r>
    <x v="687"/>
    <d v="2025-04-28T00:00:00"/>
    <x v="0"/>
    <x v="2"/>
    <x v="0"/>
    <x v="2"/>
    <x v="1"/>
    <n v="0"/>
    <n v="0"/>
    <n v="0"/>
    <n v="0"/>
    <n v="0"/>
    <n v="0"/>
    <n v="0"/>
    <m/>
    <n v="55"/>
  </r>
  <r>
    <x v="688"/>
    <d v="2025-05-27T00:00:00"/>
    <x v="0"/>
    <x v="0"/>
    <x v="0"/>
    <x v="5"/>
    <x v="2"/>
    <n v="1"/>
    <n v="0"/>
    <n v="0"/>
    <n v="0"/>
    <n v="0"/>
    <n v="0"/>
    <n v="0"/>
    <m/>
    <n v="64.8"/>
  </r>
  <r>
    <x v="689"/>
    <d v="2025-04-07T00:00:00"/>
    <x v="0"/>
    <x v="3"/>
    <x v="0"/>
    <x v="1"/>
    <x v="0"/>
    <n v="0"/>
    <n v="0"/>
    <n v="0"/>
    <n v="0"/>
    <n v="0"/>
    <n v="2"/>
    <n v="0"/>
    <m/>
    <n v="41.8"/>
  </r>
  <r>
    <x v="690"/>
    <d v="2025-04-14T00:00:00"/>
    <x v="1"/>
    <x v="2"/>
    <x v="0"/>
    <x v="4"/>
    <x v="0"/>
    <n v="1"/>
    <n v="0"/>
    <n v="0"/>
    <n v="0"/>
    <n v="0"/>
    <n v="0"/>
    <n v="0"/>
    <m/>
    <n v="73.2"/>
  </r>
  <r>
    <x v="691"/>
    <d v="2025-05-09T00:00:00"/>
    <x v="1"/>
    <x v="2"/>
    <x v="0"/>
    <x v="1"/>
    <x v="0"/>
    <n v="1"/>
    <n v="1"/>
    <n v="1"/>
    <n v="0"/>
    <n v="0"/>
    <n v="3"/>
    <n v="0"/>
    <m/>
    <n v="55.7"/>
  </r>
  <r>
    <x v="692"/>
    <d v="2025-03-21T00:00:00"/>
    <x v="1"/>
    <x v="0"/>
    <x v="1"/>
    <x v="1"/>
    <x v="1"/>
    <n v="1"/>
    <n v="1"/>
    <n v="1"/>
    <n v="0"/>
    <n v="0"/>
    <n v="0"/>
    <n v="0"/>
    <m/>
    <n v="82.8"/>
  </r>
  <r>
    <x v="693"/>
    <d v="2025-03-27T00:00:00"/>
    <x v="1"/>
    <x v="0"/>
    <x v="0"/>
    <x v="4"/>
    <x v="1"/>
    <n v="1"/>
    <n v="0"/>
    <n v="0"/>
    <n v="0"/>
    <n v="0"/>
    <n v="0"/>
    <n v="0"/>
    <m/>
    <m/>
  </r>
  <r>
    <x v="694"/>
    <d v="2025-01-21T00:00:00"/>
    <x v="1"/>
    <x v="3"/>
    <x v="1"/>
    <x v="2"/>
    <x v="1"/>
    <n v="0"/>
    <n v="0"/>
    <n v="0"/>
    <n v="0"/>
    <n v="0"/>
    <n v="0"/>
    <n v="0"/>
    <m/>
    <n v="34.4"/>
  </r>
  <r>
    <x v="695"/>
    <d v="2025-03-19T00:00:00"/>
    <x v="1"/>
    <x v="2"/>
    <x v="0"/>
    <x v="0"/>
    <x v="1"/>
    <n v="1"/>
    <n v="0"/>
    <n v="0"/>
    <n v="0"/>
    <n v="0"/>
    <n v="0"/>
    <n v="0"/>
    <m/>
    <n v="45.2"/>
  </r>
  <r>
    <x v="696"/>
    <d v="2025-05-27T00:00:00"/>
    <x v="1"/>
    <x v="0"/>
    <x v="1"/>
    <x v="1"/>
    <x v="0"/>
    <n v="1"/>
    <n v="0"/>
    <n v="0"/>
    <n v="0"/>
    <n v="0"/>
    <n v="0"/>
    <n v="0"/>
    <m/>
    <n v="71.599999999999994"/>
  </r>
  <r>
    <x v="697"/>
    <d v="2025-01-01T00:00:00"/>
    <x v="1"/>
    <x v="0"/>
    <x v="1"/>
    <x v="4"/>
    <x v="1"/>
    <n v="1"/>
    <n v="1"/>
    <n v="1"/>
    <n v="0"/>
    <n v="0"/>
    <n v="0"/>
    <n v="0"/>
    <m/>
    <n v="69.099999999999994"/>
  </r>
  <r>
    <x v="698"/>
    <d v="2025-03-29T00:00:00"/>
    <x v="1"/>
    <x v="1"/>
    <x v="0"/>
    <x v="2"/>
    <x v="2"/>
    <n v="1"/>
    <n v="0"/>
    <n v="0"/>
    <n v="0"/>
    <n v="0"/>
    <n v="1"/>
    <n v="0"/>
    <m/>
    <n v="37.700000000000003"/>
  </r>
  <r>
    <x v="699"/>
    <d v="2025-03-17T00:00:00"/>
    <x v="1"/>
    <x v="1"/>
    <x v="0"/>
    <x v="1"/>
    <x v="0"/>
    <n v="1"/>
    <n v="0"/>
    <n v="0"/>
    <n v="0"/>
    <n v="0"/>
    <n v="1"/>
    <n v="0"/>
    <m/>
    <n v="60.8"/>
  </r>
  <r>
    <x v="700"/>
    <d v="2025-05-05T00:00:00"/>
    <x v="1"/>
    <x v="0"/>
    <x v="1"/>
    <x v="1"/>
    <x v="1"/>
    <n v="1"/>
    <n v="1"/>
    <n v="1"/>
    <n v="1"/>
    <n v="444.13"/>
    <n v="0"/>
    <n v="0"/>
    <n v="10"/>
    <n v="80.7"/>
  </r>
  <r>
    <x v="701"/>
    <d v="2025-05-04T00:00:00"/>
    <x v="1"/>
    <x v="3"/>
    <x v="1"/>
    <x v="4"/>
    <x v="1"/>
    <n v="1"/>
    <n v="0"/>
    <n v="0"/>
    <n v="0"/>
    <n v="0"/>
    <n v="0"/>
    <n v="0"/>
    <m/>
    <n v="69.2"/>
  </r>
  <r>
    <x v="702"/>
    <d v="2025-03-25T00:00:00"/>
    <x v="1"/>
    <x v="0"/>
    <x v="1"/>
    <x v="4"/>
    <x v="2"/>
    <n v="0"/>
    <n v="0"/>
    <n v="0"/>
    <n v="0"/>
    <n v="0"/>
    <n v="3"/>
    <n v="0"/>
    <m/>
    <n v="55"/>
  </r>
  <r>
    <x v="703"/>
    <d v="2025-04-17T00:00:00"/>
    <x v="1"/>
    <x v="1"/>
    <x v="1"/>
    <x v="0"/>
    <x v="1"/>
    <n v="0"/>
    <n v="0"/>
    <n v="0"/>
    <n v="0"/>
    <n v="0"/>
    <n v="1"/>
    <n v="0"/>
    <m/>
    <n v="73.599999999999994"/>
  </r>
  <r>
    <x v="704"/>
    <d v="2025-05-23T00:00:00"/>
    <x v="1"/>
    <x v="3"/>
    <x v="1"/>
    <x v="3"/>
    <x v="0"/>
    <n v="1"/>
    <n v="1"/>
    <n v="1"/>
    <n v="0"/>
    <n v="0"/>
    <n v="1"/>
    <n v="0"/>
    <m/>
    <n v="47.3"/>
  </r>
  <r>
    <x v="705"/>
    <d v="2025-01-13T00:00:00"/>
    <x v="1"/>
    <x v="0"/>
    <x v="1"/>
    <x v="1"/>
    <x v="0"/>
    <n v="0"/>
    <n v="0"/>
    <n v="0"/>
    <n v="0"/>
    <n v="0"/>
    <n v="0"/>
    <n v="0"/>
    <m/>
    <n v="43.6"/>
  </r>
  <r>
    <x v="706"/>
    <d v="2025-01-29T00:00:00"/>
    <x v="1"/>
    <x v="0"/>
    <x v="0"/>
    <x v="1"/>
    <x v="0"/>
    <n v="1"/>
    <n v="0"/>
    <n v="0"/>
    <n v="0"/>
    <n v="0"/>
    <n v="0"/>
    <n v="0"/>
    <m/>
    <m/>
  </r>
  <r>
    <x v="707"/>
    <d v="2025-05-11T00:00:00"/>
    <x v="1"/>
    <x v="3"/>
    <x v="1"/>
    <x v="0"/>
    <x v="1"/>
    <n v="0"/>
    <n v="0"/>
    <n v="0"/>
    <n v="0"/>
    <n v="0"/>
    <n v="0"/>
    <n v="0"/>
    <m/>
    <n v="55.2"/>
  </r>
  <r>
    <x v="708"/>
    <d v="2025-04-22T00:00:00"/>
    <x v="1"/>
    <x v="3"/>
    <x v="1"/>
    <x v="1"/>
    <x v="0"/>
    <n v="1"/>
    <n v="0"/>
    <n v="0"/>
    <n v="0"/>
    <n v="0"/>
    <n v="0"/>
    <n v="0"/>
    <m/>
    <n v="49.4"/>
  </r>
  <r>
    <x v="709"/>
    <d v="2025-03-03T00:00:00"/>
    <x v="1"/>
    <x v="3"/>
    <x v="1"/>
    <x v="4"/>
    <x v="1"/>
    <n v="1"/>
    <n v="1"/>
    <n v="1"/>
    <n v="0"/>
    <n v="0"/>
    <n v="1"/>
    <n v="0"/>
    <m/>
    <n v="60.1"/>
  </r>
  <r>
    <x v="710"/>
    <d v="2025-03-18T00:00:00"/>
    <x v="1"/>
    <x v="0"/>
    <x v="1"/>
    <x v="3"/>
    <x v="1"/>
    <n v="1"/>
    <n v="0"/>
    <n v="0"/>
    <n v="0"/>
    <n v="0"/>
    <n v="0"/>
    <n v="0"/>
    <m/>
    <n v="55.9"/>
  </r>
  <r>
    <x v="711"/>
    <d v="2025-04-05T00:00:00"/>
    <x v="1"/>
    <x v="0"/>
    <x v="1"/>
    <x v="1"/>
    <x v="0"/>
    <n v="1"/>
    <n v="0"/>
    <n v="0"/>
    <n v="0"/>
    <n v="0"/>
    <n v="0"/>
    <n v="0"/>
    <m/>
    <n v="51.5"/>
  </r>
  <r>
    <x v="712"/>
    <d v="2025-04-16T00:00:00"/>
    <x v="1"/>
    <x v="2"/>
    <x v="1"/>
    <x v="1"/>
    <x v="1"/>
    <n v="1"/>
    <n v="1"/>
    <n v="1"/>
    <n v="1"/>
    <n v="516.66999999999996"/>
    <n v="0"/>
    <n v="0"/>
    <n v="11"/>
    <n v="57.9"/>
  </r>
  <r>
    <x v="713"/>
    <d v="2025-04-20T00:00:00"/>
    <x v="1"/>
    <x v="3"/>
    <x v="1"/>
    <x v="3"/>
    <x v="1"/>
    <n v="1"/>
    <n v="1"/>
    <n v="1"/>
    <n v="1"/>
    <n v="277.18"/>
    <n v="2"/>
    <n v="0"/>
    <n v="8"/>
    <n v="59.2"/>
  </r>
  <r>
    <x v="714"/>
    <d v="2025-02-15T00:00:00"/>
    <x v="1"/>
    <x v="3"/>
    <x v="1"/>
    <x v="1"/>
    <x v="1"/>
    <n v="0"/>
    <n v="0"/>
    <n v="0"/>
    <n v="0"/>
    <n v="0"/>
    <n v="0"/>
    <n v="0"/>
    <m/>
    <n v="64.2"/>
  </r>
  <r>
    <x v="715"/>
    <d v="2025-01-21T00:00:00"/>
    <x v="1"/>
    <x v="3"/>
    <x v="1"/>
    <x v="1"/>
    <x v="1"/>
    <n v="1"/>
    <n v="0"/>
    <n v="0"/>
    <n v="0"/>
    <n v="0"/>
    <n v="0"/>
    <n v="0"/>
    <m/>
    <n v="68.8"/>
  </r>
  <r>
    <x v="716"/>
    <d v="2025-05-23T00:00:00"/>
    <x v="1"/>
    <x v="0"/>
    <x v="1"/>
    <x v="2"/>
    <x v="2"/>
    <n v="1"/>
    <n v="1"/>
    <n v="1"/>
    <n v="0"/>
    <n v="0"/>
    <n v="0"/>
    <n v="0"/>
    <m/>
    <n v="77.900000000000006"/>
  </r>
  <r>
    <x v="717"/>
    <d v="2025-01-22T00:00:00"/>
    <x v="1"/>
    <x v="1"/>
    <x v="1"/>
    <x v="2"/>
    <x v="0"/>
    <n v="0"/>
    <n v="0"/>
    <n v="0"/>
    <n v="0"/>
    <n v="0"/>
    <n v="0"/>
    <n v="0"/>
    <m/>
    <n v="92.1"/>
  </r>
  <r>
    <x v="718"/>
    <d v="2025-04-24T00:00:00"/>
    <x v="1"/>
    <x v="1"/>
    <x v="1"/>
    <x v="2"/>
    <x v="2"/>
    <n v="0"/>
    <n v="0"/>
    <n v="0"/>
    <n v="0"/>
    <n v="0"/>
    <n v="0"/>
    <n v="0"/>
    <m/>
    <n v="63.6"/>
  </r>
  <r>
    <x v="719"/>
    <d v="2025-01-17T00:00:00"/>
    <x v="1"/>
    <x v="1"/>
    <x v="0"/>
    <x v="0"/>
    <x v="1"/>
    <n v="0"/>
    <n v="0"/>
    <n v="0"/>
    <n v="0"/>
    <n v="0"/>
    <n v="2"/>
    <n v="0"/>
    <m/>
    <n v="61.6"/>
  </r>
  <r>
    <x v="720"/>
    <d v="2025-01-22T00:00:00"/>
    <x v="1"/>
    <x v="2"/>
    <x v="1"/>
    <x v="3"/>
    <x v="0"/>
    <n v="1"/>
    <n v="1"/>
    <n v="0"/>
    <n v="0"/>
    <n v="0"/>
    <n v="0"/>
    <n v="0"/>
    <m/>
    <n v="82.3"/>
  </r>
  <r>
    <x v="721"/>
    <d v="2025-05-04T00:00:00"/>
    <x v="1"/>
    <x v="2"/>
    <x v="0"/>
    <x v="2"/>
    <x v="1"/>
    <n v="1"/>
    <n v="0"/>
    <n v="0"/>
    <n v="0"/>
    <n v="0"/>
    <n v="0"/>
    <n v="0"/>
    <m/>
    <n v="79.3"/>
  </r>
  <r>
    <x v="722"/>
    <d v="2025-03-13T00:00:00"/>
    <x v="1"/>
    <x v="3"/>
    <x v="1"/>
    <x v="5"/>
    <x v="1"/>
    <n v="0"/>
    <n v="0"/>
    <n v="0"/>
    <n v="0"/>
    <n v="0"/>
    <n v="0"/>
    <n v="0"/>
    <m/>
    <n v="57.7"/>
  </r>
  <r>
    <x v="723"/>
    <d v="2025-01-02T00:00:00"/>
    <x v="1"/>
    <x v="0"/>
    <x v="1"/>
    <x v="1"/>
    <x v="0"/>
    <n v="1"/>
    <n v="0"/>
    <n v="0"/>
    <n v="0"/>
    <n v="0"/>
    <n v="0"/>
    <n v="0"/>
    <m/>
    <n v="63.1"/>
  </r>
  <r>
    <x v="724"/>
    <d v="2025-01-13T00:00:00"/>
    <x v="1"/>
    <x v="2"/>
    <x v="1"/>
    <x v="2"/>
    <x v="0"/>
    <n v="0"/>
    <n v="0"/>
    <n v="0"/>
    <n v="0"/>
    <n v="0"/>
    <n v="0"/>
    <n v="0"/>
    <m/>
    <n v="72.3"/>
  </r>
  <r>
    <x v="725"/>
    <d v="2025-02-09T00:00:00"/>
    <x v="1"/>
    <x v="2"/>
    <x v="1"/>
    <x v="4"/>
    <x v="1"/>
    <n v="1"/>
    <n v="1"/>
    <n v="1"/>
    <n v="0"/>
    <n v="0"/>
    <n v="0"/>
    <n v="0"/>
    <m/>
    <n v="78"/>
  </r>
  <r>
    <x v="726"/>
    <d v="2025-04-09T00:00:00"/>
    <x v="1"/>
    <x v="2"/>
    <x v="0"/>
    <x v="4"/>
    <x v="1"/>
    <n v="1"/>
    <n v="1"/>
    <n v="0"/>
    <n v="0"/>
    <n v="0"/>
    <n v="2"/>
    <n v="0"/>
    <m/>
    <n v="59.1"/>
  </r>
  <r>
    <x v="727"/>
    <d v="2025-01-02T00:00:00"/>
    <x v="1"/>
    <x v="3"/>
    <x v="1"/>
    <x v="2"/>
    <x v="1"/>
    <n v="1"/>
    <n v="1"/>
    <n v="1"/>
    <n v="1"/>
    <n v="604.09"/>
    <n v="0"/>
    <n v="0"/>
    <n v="7"/>
    <n v="47.1"/>
  </r>
  <r>
    <x v="728"/>
    <d v="2025-02-04T00:00:00"/>
    <x v="1"/>
    <x v="3"/>
    <x v="1"/>
    <x v="5"/>
    <x v="2"/>
    <n v="1"/>
    <n v="0"/>
    <n v="0"/>
    <n v="0"/>
    <n v="0"/>
    <n v="0"/>
    <n v="0"/>
    <m/>
    <n v="64.900000000000006"/>
  </r>
  <r>
    <x v="729"/>
    <d v="2025-02-19T00:00:00"/>
    <x v="1"/>
    <x v="3"/>
    <x v="2"/>
    <x v="2"/>
    <x v="1"/>
    <n v="0"/>
    <n v="0"/>
    <n v="0"/>
    <n v="0"/>
    <n v="0"/>
    <n v="0"/>
    <n v="0"/>
    <m/>
    <n v="67.3"/>
  </r>
  <r>
    <x v="730"/>
    <d v="2025-04-01T00:00:00"/>
    <x v="1"/>
    <x v="2"/>
    <x v="1"/>
    <x v="2"/>
    <x v="0"/>
    <n v="1"/>
    <n v="0"/>
    <n v="0"/>
    <n v="0"/>
    <n v="0"/>
    <n v="2"/>
    <n v="0"/>
    <m/>
    <n v="52.9"/>
  </r>
  <r>
    <x v="731"/>
    <d v="2025-01-29T00:00:00"/>
    <x v="1"/>
    <x v="0"/>
    <x v="1"/>
    <x v="3"/>
    <x v="1"/>
    <n v="1"/>
    <n v="1"/>
    <n v="1"/>
    <n v="1"/>
    <n v="442.37"/>
    <n v="1"/>
    <n v="0"/>
    <n v="4"/>
    <n v="69.900000000000006"/>
  </r>
  <r>
    <x v="732"/>
    <d v="2025-05-18T00:00:00"/>
    <x v="1"/>
    <x v="0"/>
    <x v="1"/>
    <x v="3"/>
    <x v="0"/>
    <n v="1"/>
    <n v="1"/>
    <n v="1"/>
    <n v="0"/>
    <n v="0"/>
    <n v="0"/>
    <n v="0"/>
    <m/>
    <n v="78.900000000000006"/>
  </r>
  <r>
    <x v="733"/>
    <d v="2025-04-15T00:00:00"/>
    <x v="1"/>
    <x v="2"/>
    <x v="0"/>
    <x v="4"/>
    <x v="2"/>
    <n v="1"/>
    <n v="1"/>
    <n v="0"/>
    <n v="0"/>
    <n v="0"/>
    <n v="0"/>
    <n v="0"/>
    <m/>
    <n v="83.3"/>
  </r>
  <r>
    <x v="734"/>
    <d v="2025-03-28T00:00:00"/>
    <x v="1"/>
    <x v="2"/>
    <x v="0"/>
    <x v="0"/>
    <x v="1"/>
    <n v="1"/>
    <n v="0"/>
    <n v="0"/>
    <n v="0"/>
    <n v="0"/>
    <n v="1"/>
    <n v="0"/>
    <m/>
    <n v="24.5"/>
  </r>
  <r>
    <x v="735"/>
    <d v="2025-04-01T00:00:00"/>
    <x v="1"/>
    <x v="1"/>
    <x v="1"/>
    <x v="2"/>
    <x v="0"/>
    <n v="1"/>
    <n v="1"/>
    <n v="0"/>
    <n v="0"/>
    <n v="0"/>
    <n v="1"/>
    <n v="0"/>
    <m/>
    <n v="56.9"/>
  </r>
  <r>
    <x v="736"/>
    <d v="2025-02-11T00:00:00"/>
    <x v="1"/>
    <x v="1"/>
    <x v="1"/>
    <x v="4"/>
    <x v="0"/>
    <n v="1"/>
    <n v="0"/>
    <n v="0"/>
    <n v="0"/>
    <n v="0"/>
    <n v="0"/>
    <n v="0"/>
    <m/>
    <n v="69.900000000000006"/>
  </r>
  <r>
    <x v="737"/>
    <d v="2025-03-04T00:00:00"/>
    <x v="1"/>
    <x v="3"/>
    <x v="1"/>
    <x v="1"/>
    <x v="1"/>
    <n v="1"/>
    <n v="1"/>
    <n v="1"/>
    <n v="0"/>
    <n v="0"/>
    <n v="0"/>
    <n v="0"/>
    <m/>
    <n v="81.5"/>
  </r>
  <r>
    <x v="738"/>
    <d v="2025-01-21T00:00:00"/>
    <x v="1"/>
    <x v="0"/>
    <x v="2"/>
    <x v="4"/>
    <x v="0"/>
    <n v="0"/>
    <n v="0"/>
    <n v="0"/>
    <n v="0"/>
    <n v="0"/>
    <n v="2"/>
    <n v="0"/>
    <m/>
    <n v="37.9"/>
  </r>
  <r>
    <x v="739"/>
    <d v="2025-02-14T00:00:00"/>
    <x v="1"/>
    <x v="0"/>
    <x v="1"/>
    <x v="3"/>
    <x v="1"/>
    <n v="0"/>
    <n v="0"/>
    <n v="0"/>
    <n v="0"/>
    <n v="0"/>
    <n v="1"/>
    <n v="0"/>
    <m/>
    <n v="61.7"/>
  </r>
  <r>
    <x v="740"/>
    <d v="2025-03-30T00:00:00"/>
    <x v="1"/>
    <x v="0"/>
    <x v="0"/>
    <x v="5"/>
    <x v="2"/>
    <n v="1"/>
    <n v="0"/>
    <n v="0"/>
    <n v="0"/>
    <n v="0"/>
    <n v="2"/>
    <n v="0"/>
    <m/>
    <n v="53.2"/>
  </r>
  <r>
    <x v="741"/>
    <d v="2025-01-08T00:00:00"/>
    <x v="1"/>
    <x v="0"/>
    <x v="1"/>
    <x v="3"/>
    <x v="1"/>
    <n v="0"/>
    <n v="0"/>
    <n v="0"/>
    <n v="0"/>
    <n v="0"/>
    <n v="0"/>
    <n v="0"/>
    <m/>
    <n v="61.9"/>
  </r>
  <r>
    <x v="742"/>
    <d v="2025-02-07T00:00:00"/>
    <x v="1"/>
    <x v="0"/>
    <x v="1"/>
    <x v="4"/>
    <x v="1"/>
    <n v="1"/>
    <n v="1"/>
    <n v="1"/>
    <n v="0"/>
    <n v="0"/>
    <n v="0"/>
    <n v="0"/>
    <m/>
    <n v="68.900000000000006"/>
  </r>
  <r>
    <x v="743"/>
    <d v="2025-02-01T00:00:00"/>
    <x v="1"/>
    <x v="0"/>
    <x v="2"/>
    <x v="2"/>
    <x v="0"/>
    <n v="0"/>
    <n v="0"/>
    <n v="0"/>
    <n v="0"/>
    <n v="0"/>
    <n v="0"/>
    <n v="0"/>
    <m/>
    <n v="66.3"/>
  </r>
  <r>
    <x v="744"/>
    <d v="2025-01-04T00:00:00"/>
    <x v="1"/>
    <x v="2"/>
    <x v="1"/>
    <x v="0"/>
    <x v="1"/>
    <n v="1"/>
    <n v="1"/>
    <n v="1"/>
    <n v="0"/>
    <n v="0"/>
    <n v="0"/>
    <n v="0"/>
    <m/>
    <n v="54.6"/>
  </r>
  <r>
    <x v="745"/>
    <d v="2025-05-16T00:00:00"/>
    <x v="1"/>
    <x v="3"/>
    <x v="0"/>
    <x v="3"/>
    <x v="1"/>
    <n v="0"/>
    <n v="0"/>
    <n v="0"/>
    <n v="0"/>
    <n v="0"/>
    <n v="0"/>
    <n v="0"/>
    <m/>
    <n v="53.8"/>
  </r>
  <r>
    <x v="746"/>
    <d v="2025-02-28T00:00:00"/>
    <x v="1"/>
    <x v="1"/>
    <x v="1"/>
    <x v="3"/>
    <x v="1"/>
    <n v="1"/>
    <n v="0"/>
    <n v="0"/>
    <n v="0"/>
    <n v="0"/>
    <n v="0"/>
    <n v="0"/>
    <m/>
    <n v="59.5"/>
  </r>
  <r>
    <x v="747"/>
    <d v="2025-04-12T00:00:00"/>
    <x v="1"/>
    <x v="0"/>
    <x v="1"/>
    <x v="3"/>
    <x v="1"/>
    <n v="1"/>
    <n v="0"/>
    <n v="0"/>
    <n v="0"/>
    <n v="0"/>
    <n v="0"/>
    <n v="0"/>
    <m/>
    <n v="52.6"/>
  </r>
  <r>
    <x v="748"/>
    <d v="2025-03-23T00:00:00"/>
    <x v="1"/>
    <x v="3"/>
    <x v="0"/>
    <x v="1"/>
    <x v="1"/>
    <n v="0"/>
    <n v="0"/>
    <n v="0"/>
    <n v="0"/>
    <n v="0"/>
    <n v="0"/>
    <n v="0"/>
    <m/>
    <n v="49"/>
  </r>
  <r>
    <x v="749"/>
    <d v="2025-05-29T00:00:00"/>
    <x v="1"/>
    <x v="0"/>
    <x v="2"/>
    <x v="1"/>
    <x v="1"/>
    <n v="1"/>
    <n v="0"/>
    <n v="0"/>
    <n v="0"/>
    <n v="0"/>
    <n v="0"/>
    <n v="0"/>
    <m/>
    <n v="59.3"/>
  </r>
  <r>
    <x v="750"/>
    <d v="2025-05-21T00:00:00"/>
    <x v="1"/>
    <x v="3"/>
    <x v="0"/>
    <x v="1"/>
    <x v="0"/>
    <n v="0"/>
    <n v="0"/>
    <n v="0"/>
    <n v="0"/>
    <n v="0"/>
    <n v="0"/>
    <n v="0"/>
    <m/>
    <n v="67.2"/>
  </r>
  <r>
    <x v="751"/>
    <d v="2025-01-05T00:00:00"/>
    <x v="1"/>
    <x v="3"/>
    <x v="1"/>
    <x v="3"/>
    <x v="2"/>
    <n v="0"/>
    <n v="0"/>
    <n v="0"/>
    <n v="0"/>
    <n v="0"/>
    <n v="0"/>
    <n v="0"/>
    <m/>
    <n v="73.5"/>
  </r>
  <r>
    <x v="752"/>
    <d v="2025-03-19T00:00:00"/>
    <x v="1"/>
    <x v="2"/>
    <x v="2"/>
    <x v="1"/>
    <x v="1"/>
    <n v="1"/>
    <n v="0"/>
    <n v="0"/>
    <n v="0"/>
    <n v="0"/>
    <n v="0"/>
    <n v="0"/>
    <m/>
    <n v="61.2"/>
  </r>
  <r>
    <x v="753"/>
    <d v="2025-04-24T00:00:00"/>
    <x v="1"/>
    <x v="2"/>
    <x v="1"/>
    <x v="1"/>
    <x v="1"/>
    <n v="1"/>
    <n v="0"/>
    <n v="0"/>
    <n v="0"/>
    <n v="0"/>
    <n v="1"/>
    <n v="0"/>
    <m/>
    <n v="56.4"/>
  </r>
  <r>
    <x v="754"/>
    <d v="2025-03-10T00:00:00"/>
    <x v="1"/>
    <x v="0"/>
    <x v="2"/>
    <x v="1"/>
    <x v="1"/>
    <n v="0"/>
    <n v="0"/>
    <n v="0"/>
    <n v="0"/>
    <n v="0"/>
    <n v="3"/>
    <n v="0"/>
    <m/>
    <n v="72.599999999999994"/>
  </r>
  <r>
    <x v="755"/>
    <d v="2025-02-22T00:00:00"/>
    <x v="1"/>
    <x v="3"/>
    <x v="2"/>
    <x v="3"/>
    <x v="0"/>
    <n v="1"/>
    <n v="0"/>
    <n v="0"/>
    <n v="0"/>
    <n v="0"/>
    <n v="0"/>
    <n v="0"/>
    <m/>
    <n v="61.7"/>
  </r>
  <r>
    <x v="756"/>
    <d v="2025-05-17T00:00:00"/>
    <x v="1"/>
    <x v="2"/>
    <x v="1"/>
    <x v="4"/>
    <x v="1"/>
    <n v="0"/>
    <n v="0"/>
    <n v="0"/>
    <n v="0"/>
    <n v="0"/>
    <n v="1"/>
    <n v="0"/>
    <m/>
    <n v="66.900000000000006"/>
  </r>
  <r>
    <x v="757"/>
    <d v="2025-05-09T00:00:00"/>
    <x v="1"/>
    <x v="2"/>
    <x v="2"/>
    <x v="3"/>
    <x v="2"/>
    <n v="1"/>
    <n v="1"/>
    <n v="1"/>
    <n v="1"/>
    <n v="1506.24"/>
    <n v="1"/>
    <n v="0"/>
    <n v="7"/>
    <n v="64.900000000000006"/>
  </r>
  <r>
    <x v="758"/>
    <d v="2025-04-26T00:00:00"/>
    <x v="1"/>
    <x v="2"/>
    <x v="2"/>
    <x v="1"/>
    <x v="2"/>
    <n v="1"/>
    <n v="0"/>
    <n v="0"/>
    <n v="0"/>
    <n v="0"/>
    <n v="0"/>
    <n v="0"/>
    <m/>
    <n v="57.5"/>
  </r>
  <r>
    <x v="759"/>
    <d v="2025-03-15T00:00:00"/>
    <x v="1"/>
    <x v="1"/>
    <x v="0"/>
    <x v="4"/>
    <x v="1"/>
    <n v="1"/>
    <n v="1"/>
    <n v="1"/>
    <n v="0"/>
    <n v="0"/>
    <n v="0"/>
    <n v="0"/>
    <m/>
    <n v="76.3"/>
  </r>
  <r>
    <x v="760"/>
    <d v="2025-04-03T00:00:00"/>
    <x v="1"/>
    <x v="0"/>
    <x v="1"/>
    <x v="2"/>
    <x v="1"/>
    <n v="0"/>
    <n v="0"/>
    <n v="0"/>
    <n v="0"/>
    <n v="0"/>
    <n v="0"/>
    <n v="0"/>
    <m/>
    <n v="47.5"/>
  </r>
  <r>
    <x v="761"/>
    <d v="2025-03-26T00:00:00"/>
    <x v="1"/>
    <x v="3"/>
    <x v="1"/>
    <x v="2"/>
    <x v="1"/>
    <n v="0"/>
    <n v="0"/>
    <n v="0"/>
    <n v="0"/>
    <n v="0"/>
    <n v="0"/>
    <n v="0"/>
    <m/>
    <m/>
  </r>
  <r>
    <x v="762"/>
    <d v="2025-02-05T00:00:00"/>
    <x v="1"/>
    <x v="1"/>
    <x v="0"/>
    <x v="1"/>
    <x v="0"/>
    <n v="1"/>
    <n v="1"/>
    <n v="0"/>
    <n v="0"/>
    <n v="0"/>
    <n v="2"/>
    <n v="0"/>
    <m/>
    <n v="71.599999999999994"/>
  </r>
  <r>
    <x v="763"/>
    <d v="2025-05-08T00:00:00"/>
    <x v="1"/>
    <x v="3"/>
    <x v="1"/>
    <x v="4"/>
    <x v="0"/>
    <n v="1"/>
    <n v="1"/>
    <n v="0"/>
    <n v="0"/>
    <n v="0"/>
    <n v="0"/>
    <n v="0"/>
    <m/>
    <n v="55.8"/>
  </r>
  <r>
    <x v="764"/>
    <d v="2025-03-25T00:00:00"/>
    <x v="1"/>
    <x v="3"/>
    <x v="0"/>
    <x v="1"/>
    <x v="0"/>
    <n v="0"/>
    <n v="0"/>
    <n v="0"/>
    <n v="0"/>
    <n v="0"/>
    <n v="1"/>
    <n v="0"/>
    <m/>
    <n v="60.1"/>
  </r>
  <r>
    <x v="765"/>
    <d v="2025-01-14T00:00:00"/>
    <x v="1"/>
    <x v="1"/>
    <x v="3"/>
    <x v="0"/>
    <x v="0"/>
    <n v="1"/>
    <n v="1"/>
    <n v="1"/>
    <n v="0"/>
    <n v="0"/>
    <n v="1"/>
    <n v="0"/>
    <m/>
    <n v="59.3"/>
  </r>
  <r>
    <x v="766"/>
    <d v="2025-03-26T00:00:00"/>
    <x v="1"/>
    <x v="0"/>
    <x v="1"/>
    <x v="1"/>
    <x v="1"/>
    <n v="1"/>
    <n v="1"/>
    <n v="0"/>
    <n v="0"/>
    <n v="0"/>
    <n v="2"/>
    <n v="0"/>
    <m/>
    <n v="49.3"/>
  </r>
  <r>
    <x v="767"/>
    <d v="2025-01-16T00:00:00"/>
    <x v="1"/>
    <x v="2"/>
    <x v="1"/>
    <x v="3"/>
    <x v="1"/>
    <n v="1"/>
    <n v="0"/>
    <n v="0"/>
    <n v="0"/>
    <n v="0"/>
    <n v="0"/>
    <n v="0"/>
    <m/>
    <n v="75"/>
  </r>
  <r>
    <x v="768"/>
    <d v="2025-01-04T00:00:00"/>
    <x v="1"/>
    <x v="2"/>
    <x v="1"/>
    <x v="4"/>
    <x v="1"/>
    <n v="1"/>
    <n v="0"/>
    <n v="0"/>
    <n v="0"/>
    <n v="0"/>
    <n v="0"/>
    <n v="0"/>
    <m/>
    <n v="70.2"/>
  </r>
  <r>
    <x v="769"/>
    <d v="2025-02-09T00:00:00"/>
    <x v="1"/>
    <x v="3"/>
    <x v="0"/>
    <x v="1"/>
    <x v="2"/>
    <n v="1"/>
    <n v="1"/>
    <n v="1"/>
    <n v="0"/>
    <n v="0"/>
    <n v="0"/>
    <n v="0"/>
    <m/>
    <n v="56.6"/>
  </r>
  <r>
    <x v="770"/>
    <d v="2025-03-05T00:00:00"/>
    <x v="1"/>
    <x v="2"/>
    <x v="0"/>
    <x v="1"/>
    <x v="1"/>
    <n v="1"/>
    <n v="0"/>
    <n v="0"/>
    <n v="0"/>
    <n v="0"/>
    <n v="0"/>
    <n v="0"/>
    <m/>
    <n v="65.400000000000006"/>
  </r>
  <r>
    <x v="771"/>
    <d v="2025-03-10T00:00:00"/>
    <x v="1"/>
    <x v="2"/>
    <x v="1"/>
    <x v="3"/>
    <x v="0"/>
    <n v="1"/>
    <n v="0"/>
    <n v="0"/>
    <n v="0"/>
    <n v="0"/>
    <n v="0"/>
    <n v="0"/>
    <m/>
    <n v="47.6"/>
  </r>
  <r>
    <x v="772"/>
    <d v="2025-02-27T00:00:00"/>
    <x v="1"/>
    <x v="2"/>
    <x v="0"/>
    <x v="2"/>
    <x v="1"/>
    <n v="1"/>
    <n v="0"/>
    <n v="0"/>
    <n v="0"/>
    <n v="0"/>
    <n v="0"/>
    <n v="0"/>
    <m/>
    <n v="56.7"/>
  </r>
  <r>
    <x v="773"/>
    <d v="2025-03-10T00:00:00"/>
    <x v="1"/>
    <x v="0"/>
    <x v="0"/>
    <x v="3"/>
    <x v="0"/>
    <n v="1"/>
    <n v="1"/>
    <n v="0"/>
    <n v="0"/>
    <n v="0"/>
    <n v="0"/>
    <n v="0"/>
    <m/>
    <n v="71.400000000000006"/>
  </r>
  <r>
    <x v="774"/>
    <d v="2025-04-23T00:00:00"/>
    <x v="1"/>
    <x v="1"/>
    <x v="1"/>
    <x v="4"/>
    <x v="1"/>
    <n v="0"/>
    <n v="0"/>
    <n v="0"/>
    <n v="0"/>
    <n v="0"/>
    <n v="2"/>
    <n v="0"/>
    <m/>
    <n v="60.5"/>
  </r>
  <r>
    <x v="775"/>
    <d v="2025-04-12T00:00:00"/>
    <x v="1"/>
    <x v="0"/>
    <x v="0"/>
    <x v="2"/>
    <x v="1"/>
    <n v="1"/>
    <n v="0"/>
    <n v="0"/>
    <n v="0"/>
    <n v="0"/>
    <n v="0"/>
    <n v="0"/>
    <m/>
    <n v="46.7"/>
  </r>
  <r>
    <x v="776"/>
    <d v="2025-01-26T00:00:00"/>
    <x v="1"/>
    <x v="2"/>
    <x v="0"/>
    <x v="3"/>
    <x v="1"/>
    <n v="0"/>
    <n v="0"/>
    <n v="0"/>
    <n v="0"/>
    <n v="0"/>
    <n v="0"/>
    <n v="0"/>
    <m/>
    <n v="61"/>
  </r>
  <r>
    <x v="777"/>
    <d v="2025-05-24T00:00:00"/>
    <x v="1"/>
    <x v="1"/>
    <x v="2"/>
    <x v="2"/>
    <x v="1"/>
    <n v="0"/>
    <n v="0"/>
    <n v="0"/>
    <n v="0"/>
    <n v="0"/>
    <n v="0"/>
    <n v="0"/>
    <m/>
    <n v="60.9"/>
  </r>
  <r>
    <x v="778"/>
    <d v="2025-01-08T00:00:00"/>
    <x v="1"/>
    <x v="3"/>
    <x v="1"/>
    <x v="1"/>
    <x v="1"/>
    <n v="1"/>
    <n v="0"/>
    <n v="0"/>
    <n v="0"/>
    <n v="0"/>
    <n v="0"/>
    <n v="0"/>
    <m/>
    <n v="67.099999999999994"/>
  </r>
  <r>
    <x v="779"/>
    <d v="2025-04-15T00:00:00"/>
    <x v="1"/>
    <x v="0"/>
    <x v="1"/>
    <x v="3"/>
    <x v="1"/>
    <n v="1"/>
    <n v="1"/>
    <n v="0"/>
    <n v="0"/>
    <n v="0"/>
    <n v="0"/>
    <n v="0"/>
    <m/>
    <n v="59.6"/>
  </r>
  <r>
    <x v="780"/>
    <d v="2025-01-15T00:00:00"/>
    <x v="1"/>
    <x v="3"/>
    <x v="0"/>
    <x v="2"/>
    <x v="1"/>
    <n v="1"/>
    <n v="0"/>
    <n v="0"/>
    <n v="0"/>
    <n v="0"/>
    <n v="0"/>
    <n v="0"/>
    <m/>
    <n v="83.8"/>
  </r>
  <r>
    <x v="781"/>
    <d v="2025-02-28T00:00:00"/>
    <x v="1"/>
    <x v="0"/>
    <x v="1"/>
    <x v="1"/>
    <x v="0"/>
    <n v="1"/>
    <n v="1"/>
    <n v="1"/>
    <n v="0"/>
    <n v="0"/>
    <n v="0"/>
    <n v="0"/>
    <m/>
    <n v="70.8"/>
  </r>
  <r>
    <x v="782"/>
    <d v="2025-01-01T00:00:00"/>
    <x v="1"/>
    <x v="0"/>
    <x v="2"/>
    <x v="1"/>
    <x v="0"/>
    <n v="0"/>
    <n v="0"/>
    <n v="0"/>
    <n v="0"/>
    <n v="0"/>
    <n v="0"/>
    <n v="0"/>
    <m/>
    <n v="65.900000000000006"/>
  </r>
  <r>
    <x v="783"/>
    <d v="2025-04-17T00:00:00"/>
    <x v="1"/>
    <x v="1"/>
    <x v="1"/>
    <x v="3"/>
    <x v="1"/>
    <n v="1"/>
    <n v="0"/>
    <n v="0"/>
    <n v="0"/>
    <n v="0"/>
    <n v="0"/>
    <n v="0"/>
    <m/>
    <n v="58"/>
  </r>
  <r>
    <x v="784"/>
    <d v="2025-02-19T00:00:00"/>
    <x v="1"/>
    <x v="0"/>
    <x v="1"/>
    <x v="0"/>
    <x v="0"/>
    <n v="1"/>
    <n v="1"/>
    <n v="0"/>
    <n v="0"/>
    <n v="0"/>
    <n v="0"/>
    <n v="0"/>
    <m/>
    <n v="80.3"/>
  </r>
  <r>
    <x v="785"/>
    <d v="2025-03-14T00:00:00"/>
    <x v="1"/>
    <x v="0"/>
    <x v="0"/>
    <x v="1"/>
    <x v="1"/>
    <n v="1"/>
    <n v="0"/>
    <n v="0"/>
    <n v="0"/>
    <n v="0"/>
    <n v="0"/>
    <n v="0"/>
    <m/>
    <n v="55.7"/>
  </r>
  <r>
    <x v="786"/>
    <d v="2025-04-21T00:00:00"/>
    <x v="1"/>
    <x v="0"/>
    <x v="1"/>
    <x v="1"/>
    <x v="1"/>
    <n v="1"/>
    <n v="1"/>
    <n v="0"/>
    <n v="0"/>
    <n v="0"/>
    <n v="0"/>
    <n v="0"/>
    <m/>
    <n v="84.9"/>
  </r>
  <r>
    <x v="787"/>
    <d v="2025-02-14T00:00:00"/>
    <x v="1"/>
    <x v="0"/>
    <x v="1"/>
    <x v="1"/>
    <x v="1"/>
    <n v="1"/>
    <n v="0"/>
    <n v="0"/>
    <n v="0"/>
    <n v="0"/>
    <n v="0"/>
    <n v="0"/>
    <m/>
    <n v="63.3"/>
  </r>
  <r>
    <x v="788"/>
    <d v="2025-05-30T00:00:00"/>
    <x v="1"/>
    <x v="1"/>
    <x v="1"/>
    <x v="1"/>
    <x v="1"/>
    <n v="0"/>
    <n v="0"/>
    <n v="0"/>
    <n v="0"/>
    <n v="0"/>
    <n v="0"/>
    <n v="0"/>
    <m/>
    <n v="53.1"/>
  </r>
  <r>
    <x v="789"/>
    <d v="2025-01-20T00:00:00"/>
    <x v="1"/>
    <x v="1"/>
    <x v="1"/>
    <x v="1"/>
    <x v="1"/>
    <n v="0"/>
    <n v="0"/>
    <n v="0"/>
    <n v="0"/>
    <n v="0"/>
    <n v="0"/>
    <n v="0"/>
    <m/>
    <n v="66"/>
  </r>
  <r>
    <x v="790"/>
    <d v="2025-03-17T00:00:00"/>
    <x v="1"/>
    <x v="1"/>
    <x v="1"/>
    <x v="4"/>
    <x v="2"/>
    <n v="0"/>
    <n v="0"/>
    <n v="0"/>
    <n v="0"/>
    <n v="0"/>
    <n v="0"/>
    <n v="0"/>
    <m/>
    <n v="54.7"/>
  </r>
  <r>
    <x v="791"/>
    <d v="2025-03-04T00:00:00"/>
    <x v="1"/>
    <x v="1"/>
    <x v="1"/>
    <x v="4"/>
    <x v="1"/>
    <n v="1"/>
    <n v="1"/>
    <n v="0"/>
    <n v="0"/>
    <n v="0"/>
    <n v="1"/>
    <n v="0"/>
    <m/>
    <n v="41.2"/>
  </r>
  <r>
    <x v="792"/>
    <d v="2025-02-22T00:00:00"/>
    <x v="1"/>
    <x v="3"/>
    <x v="1"/>
    <x v="1"/>
    <x v="2"/>
    <n v="0"/>
    <n v="0"/>
    <n v="0"/>
    <n v="0"/>
    <n v="0"/>
    <n v="0"/>
    <n v="0"/>
    <m/>
    <n v="66.7"/>
  </r>
  <r>
    <x v="793"/>
    <d v="2025-05-02T00:00:00"/>
    <x v="1"/>
    <x v="0"/>
    <x v="1"/>
    <x v="2"/>
    <x v="2"/>
    <n v="0"/>
    <n v="0"/>
    <n v="0"/>
    <n v="0"/>
    <n v="0"/>
    <n v="0"/>
    <n v="0"/>
    <m/>
    <n v="39.4"/>
  </r>
  <r>
    <x v="794"/>
    <d v="2025-03-13T00:00:00"/>
    <x v="1"/>
    <x v="1"/>
    <x v="0"/>
    <x v="1"/>
    <x v="2"/>
    <n v="0"/>
    <n v="0"/>
    <n v="0"/>
    <n v="0"/>
    <n v="0"/>
    <n v="3"/>
    <n v="0"/>
    <m/>
    <n v="67"/>
  </r>
  <r>
    <x v="795"/>
    <d v="2025-05-31T00:00:00"/>
    <x v="1"/>
    <x v="3"/>
    <x v="1"/>
    <x v="1"/>
    <x v="0"/>
    <n v="1"/>
    <n v="0"/>
    <n v="0"/>
    <n v="0"/>
    <n v="0"/>
    <n v="0"/>
    <n v="0"/>
    <m/>
    <n v="50.4"/>
  </r>
  <r>
    <x v="796"/>
    <d v="2025-03-07T00:00:00"/>
    <x v="1"/>
    <x v="1"/>
    <x v="0"/>
    <x v="4"/>
    <x v="1"/>
    <n v="1"/>
    <n v="0"/>
    <n v="0"/>
    <n v="0"/>
    <n v="0"/>
    <n v="0"/>
    <n v="0"/>
    <m/>
    <n v="53.8"/>
  </r>
  <r>
    <x v="797"/>
    <d v="2025-02-22T00:00:00"/>
    <x v="1"/>
    <x v="1"/>
    <x v="1"/>
    <x v="2"/>
    <x v="0"/>
    <n v="0"/>
    <n v="0"/>
    <n v="0"/>
    <n v="0"/>
    <n v="0"/>
    <n v="1"/>
    <n v="0"/>
    <m/>
    <n v="82.7"/>
  </r>
  <r>
    <x v="798"/>
    <d v="2025-01-05T00:00:00"/>
    <x v="1"/>
    <x v="1"/>
    <x v="0"/>
    <x v="2"/>
    <x v="1"/>
    <n v="1"/>
    <n v="1"/>
    <n v="1"/>
    <n v="0"/>
    <n v="0"/>
    <n v="0"/>
    <n v="0"/>
    <m/>
    <n v="63.9"/>
  </r>
  <r>
    <x v="799"/>
    <d v="2025-01-21T00:00:00"/>
    <x v="1"/>
    <x v="1"/>
    <x v="1"/>
    <x v="3"/>
    <x v="1"/>
    <n v="1"/>
    <n v="0"/>
    <n v="0"/>
    <n v="0"/>
    <n v="0"/>
    <n v="0"/>
    <n v="0"/>
    <m/>
    <n v="61.9"/>
  </r>
  <r>
    <x v="800"/>
    <d v="2025-01-25T00:00:00"/>
    <x v="1"/>
    <x v="0"/>
    <x v="0"/>
    <x v="4"/>
    <x v="1"/>
    <n v="1"/>
    <n v="1"/>
    <n v="1"/>
    <n v="0"/>
    <n v="0"/>
    <n v="0"/>
    <n v="0"/>
    <m/>
    <n v="75"/>
  </r>
  <r>
    <x v="801"/>
    <d v="2025-04-04T00:00:00"/>
    <x v="1"/>
    <x v="1"/>
    <x v="1"/>
    <x v="2"/>
    <x v="0"/>
    <n v="1"/>
    <n v="1"/>
    <n v="1"/>
    <n v="0"/>
    <n v="0"/>
    <n v="0"/>
    <n v="0"/>
    <m/>
    <n v="43"/>
  </r>
  <r>
    <x v="802"/>
    <d v="2025-03-25T00:00:00"/>
    <x v="1"/>
    <x v="0"/>
    <x v="0"/>
    <x v="4"/>
    <x v="2"/>
    <n v="0"/>
    <n v="0"/>
    <n v="0"/>
    <n v="0"/>
    <n v="0"/>
    <n v="0"/>
    <n v="0"/>
    <m/>
    <n v="54.3"/>
  </r>
  <r>
    <x v="803"/>
    <d v="2025-03-19T00:00:00"/>
    <x v="1"/>
    <x v="1"/>
    <x v="1"/>
    <x v="4"/>
    <x v="1"/>
    <n v="0"/>
    <n v="0"/>
    <n v="0"/>
    <n v="0"/>
    <n v="0"/>
    <n v="2"/>
    <n v="0"/>
    <m/>
    <n v="44.3"/>
  </r>
  <r>
    <x v="804"/>
    <d v="2025-04-24T00:00:00"/>
    <x v="1"/>
    <x v="1"/>
    <x v="0"/>
    <x v="1"/>
    <x v="1"/>
    <n v="1"/>
    <n v="1"/>
    <n v="1"/>
    <n v="1"/>
    <n v="402.88"/>
    <n v="0"/>
    <n v="0"/>
    <n v="12"/>
    <n v="76"/>
  </r>
  <r>
    <x v="805"/>
    <d v="2025-04-04T00:00:00"/>
    <x v="1"/>
    <x v="3"/>
    <x v="2"/>
    <x v="1"/>
    <x v="1"/>
    <n v="1"/>
    <n v="0"/>
    <n v="0"/>
    <n v="0"/>
    <n v="0"/>
    <n v="2"/>
    <n v="0"/>
    <m/>
    <n v="65.3"/>
  </r>
  <r>
    <x v="806"/>
    <d v="2025-03-28T00:00:00"/>
    <x v="1"/>
    <x v="3"/>
    <x v="0"/>
    <x v="2"/>
    <x v="2"/>
    <n v="1"/>
    <n v="0"/>
    <n v="0"/>
    <n v="0"/>
    <n v="0"/>
    <n v="0"/>
    <n v="0"/>
    <m/>
    <n v="71.2"/>
  </r>
  <r>
    <x v="807"/>
    <d v="2025-05-15T00:00:00"/>
    <x v="1"/>
    <x v="3"/>
    <x v="2"/>
    <x v="2"/>
    <x v="1"/>
    <n v="1"/>
    <n v="0"/>
    <n v="0"/>
    <n v="0"/>
    <n v="0"/>
    <n v="0"/>
    <n v="0"/>
    <m/>
    <n v="77.900000000000006"/>
  </r>
  <r>
    <x v="808"/>
    <d v="2025-03-13T00:00:00"/>
    <x v="1"/>
    <x v="1"/>
    <x v="1"/>
    <x v="2"/>
    <x v="1"/>
    <n v="0"/>
    <n v="0"/>
    <n v="0"/>
    <n v="0"/>
    <n v="0"/>
    <n v="0"/>
    <n v="0"/>
    <m/>
    <n v="48.6"/>
  </r>
  <r>
    <x v="809"/>
    <d v="2025-03-26T00:00:00"/>
    <x v="1"/>
    <x v="0"/>
    <x v="1"/>
    <x v="4"/>
    <x v="2"/>
    <n v="1"/>
    <n v="0"/>
    <n v="0"/>
    <n v="0"/>
    <n v="0"/>
    <n v="0"/>
    <n v="0"/>
    <m/>
    <n v="61.9"/>
  </r>
  <r>
    <x v="810"/>
    <d v="2025-01-09T00:00:00"/>
    <x v="1"/>
    <x v="0"/>
    <x v="1"/>
    <x v="4"/>
    <x v="0"/>
    <n v="0"/>
    <n v="0"/>
    <n v="0"/>
    <n v="0"/>
    <n v="0"/>
    <n v="1"/>
    <n v="0"/>
    <m/>
    <n v="58.7"/>
  </r>
  <r>
    <x v="811"/>
    <d v="2025-05-06T00:00:00"/>
    <x v="1"/>
    <x v="3"/>
    <x v="0"/>
    <x v="2"/>
    <x v="1"/>
    <n v="1"/>
    <n v="0"/>
    <n v="0"/>
    <n v="0"/>
    <n v="0"/>
    <n v="0"/>
    <n v="0"/>
    <m/>
    <n v="69.599999999999994"/>
  </r>
  <r>
    <x v="812"/>
    <d v="2025-02-17T00:00:00"/>
    <x v="1"/>
    <x v="3"/>
    <x v="1"/>
    <x v="1"/>
    <x v="1"/>
    <n v="1"/>
    <n v="0"/>
    <n v="0"/>
    <n v="0"/>
    <n v="0"/>
    <n v="0"/>
    <n v="0"/>
    <m/>
    <n v="51.5"/>
  </r>
  <r>
    <x v="813"/>
    <d v="2025-04-05T00:00:00"/>
    <x v="1"/>
    <x v="2"/>
    <x v="1"/>
    <x v="2"/>
    <x v="1"/>
    <n v="1"/>
    <n v="1"/>
    <n v="1"/>
    <n v="1"/>
    <n v="277.69"/>
    <n v="3"/>
    <n v="0"/>
    <n v="8"/>
    <n v="46"/>
  </r>
  <r>
    <x v="814"/>
    <d v="2025-04-13T00:00:00"/>
    <x v="1"/>
    <x v="1"/>
    <x v="2"/>
    <x v="1"/>
    <x v="1"/>
    <n v="1"/>
    <n v="0"/>
    <n v="0"/>
    <n v="0"/>
    <n v="0"/>
    <n v="0"/>
    <n v="0"/>
    <m/>
    <n v="81.7"/>
  </r>
  <r>
    <x v="815"/>
    <d v="2025-05-20T00:00:00"/>
    <x v="1"/>
    <x v="2"/>
    <x v="0"/>
    <x v="3"/>
    <x v="1"/>
    <n v="1"/>
    <n v="0"/>
    <n v="0"/>
    <n v="0"/>
    <n v="0"/>
    <n v="0"/>
    <n v="0"/>
    <m/>
    <n v="48.3"/>
  </r>
  <r>
    <x v="816"/>
    <d v="2025-03-31T00:00:00"/>
    <x v="1"/>
    <x v="2"/>
    <x v="1"/>
    <x v="0"/>
    <x v="1"/>
    <n v="1"/>
    <n v="1"/>
    <n v="0"/>
    <n v="0"/>
    <n v="0"/>
    <n v="0"/>
    <n v="0"/>
    <m/>
    <n v="85.6"/>
  </r>
  <r>
    <x v="817"/>
    <d v="2025-04-03T00:00:00"/>
    <x v="1"/>
    <x v="1"/>
    <x v="2"/>
    <x v="2"/>
    <x v="0"/>
    <n v="1"/>
    <n v="0"/>
    <n v="0"/>
    <n v="0"/>
    <n v="0"/>
    <n v="0"/>
    <n v="0"/>
    <m/>
    <n v="53.8"/>
  </r>
  <r>
    <x v="818"/>
    <d v="2025-02-04T00:00:00"/>
    <x v="1"/>
    <x v="3"/>
    <x v="1"/>
    <x v="1"/>
    <x v="1"/>
    <n v="1"/>
    <n v="1"/>
    <n v="1"/>
    <n v="1"/>
    <n v="460.83"/>
    <n v="2"/>
    <n v="0"/>
    <n v="0"/>
    <n v="69.7"/>
  </r>
  <r>
    <x v="819"/>
    <d v="2025-05-19T00:00:00"/>
    <x v="1"/>
    <x v="2"/>
    <x v="1"/>
    <x v="1"/>
    <x v="1"/>
    <n v="1"/>
    <n v="0"/>
    <n v="0"/>
    <n v="0"/>
    <n v="0"/>
    <n v="0"/>
    <n v="0"/>
    <m/>
    <n v="74.8"/>
  </r>
  <r>
    <x v="820"/>
    <d v="2025-03-08T00:00:00"/>
    <x v="1"/>
    <x v="2"/>
    <x v="0"/>
    <x v="2"/>
    <x v="0"/>
    <n v="0"/>
    <n v="0"/>
    <n v="0"/>
    <n v="0"/>
    <n v="0"/>
    <n v="0"/>
    <n v="0"/>
    <m/>
    <n v="87.9"/>
  </r>
  <r>
    <x v="821"/>
    <d v="2025-05-10T00:00:00"/>
    <x v="1"/>
    <x v="0"/>
    <x v="1"/>
    <x v="4"/>
    <x v="0"/>
    <n v="1"/>
    <n v="0"/>
    <n v="0"/>
    <n v="0"/>
    <n v="0"/>
    <n v="1"/>
    <n v="0"/>
    <m/>
    <n v="49.1"/>
  </r>
  <r>
    <x v="822"/>
    <d v="2025-01-02T00:00:00"/>
    <x v="1"/>
    <x v="2"/>
    <x v="0"/>
    <x v="4"/>
    <x v="0"/>
    <n v="1"/>
    <n v="0"/>
    <n v="0"/>
    <n v="0"/>
    <n v="0"/>
    <n v="2"/>
    <n v="0"/>
    <m/>
    <n v="73"/>
  </r>
  <r>
    <x v="823"/>
    <d v="2025-01-17T00:00:00"/>
    <x v="1"/>
    <x v="1"/>
    <x v="1"/>
    <x v="1"/>
    <x v="0"/>
    <n v="0"/>
    <n v="0"/>
    <n v="0"/>
    <n v="0"/>
    <n v="0"/>
    <n v="0"/>
    <n v="0"/>
    <m/>
    <n v="79.5"/>
  </r>
  <r>
    <x v="824"/>
    <d v="2025-05-21T00:00:00"/>
    <x v="1"/>
    <x v="1"/>
    <x v="1"/>
    <x v="3"/>
    <x v="0"/>
    <n v="1"/>
    <n v="1"/>
    <n v="1"/>
    <n v="1"/>
    <n v="782.23"/>
    <n v="1"/>
    <n v="0"/>
    <n v="6"/>
    <n v="93.2"/>
  </r>
  <r>
    <x v="825"/>
    <d v="2025-05-25T00:00:00"/>
    <x v="1"/>
    <x v="2"/>
    <x v="0"/>
    <x v="3"/>
    <x v="1"/>
    <n v="1"/>
    <n v="0"/>
    <n v="0"/>
    <n v="0"/>
    <n v="0"/>
    <n v="3"/>
    <n v="0"/>
    <m/>
    <n v="77.5"/>
  </r>
  <r>
    <x v="826"/>
    <d v="2025-01-05T00:00:00"/>
    <x v="1"/>
    <x v="1"/>
    <x v="1"/>
    <x v="0"/>
    <x v="0"/>
    <n v="1"/>
    <n v="0"/>
    <n v="0"/>
    <n v="0"/>
    <n v="0"/>
    <n v="0"/>
    <n v="0"/>
    <m/>
    <n v="61"/>
  </r>
  <r>
    <x v="827"/>
    <d v="2025-02-24T00:00:00"/>
    <x v="1"/>
    <x v="3"/>
    <x v="0"/>
    <x v="1"/>
    <x v="1"/>
    <n v="1"/>
    <n v="1"/>
    <n v="0"/>
    <n v="0"/>
    <n v="0"/>
    <n v="0"/>
    <n v="0"/>
    <m/>
    <n v="64.900000000000006"/>
  </r>
  <r>
    <x v="828"/>
    <d v="2025-01-21T00:00:00"/>
    <x v="1"/>
    <x v="2"/>
    <x v="1"/>
    <x v="2"/>
    <x v="0"/>
    <n v="1"/>
    <n v="0"/>
    <n v="0"/>
    <n v="0"/>
    <n v="0"/>
    <n v="0"/>
    <n v="0"/>
    <m/>
    <n v="87.5"/>
  </r>
  <r>
    <x v="829"/>
    <d v="2025-04-24T00:00:00"/>
    <x v="1"/>
    <x v="0"/>
    <x v="1"/>
    <x v="1"/>
    <x v="0"/>
    <n v="1"/>
    <n v="1"/>
    <n v="1"/>
    <n v="1"/>
    <n v="1171.99"/>
    <n v="0"/>
    <n v="0"/>
    <n v="5"/>
    <n v="80.599999999999994"/>
  </r>
  <r>
    <x v="830"/>
    <d v="2025-01-07T00:00:00"/>
    <x v="1"/>
    <x v="1"/>
    <x v="0"/>
    <x v="1"/>
    <x v="1"/>
    <n v="1"/>
    <n v="0"/>
    <n v="0"/>
    <n v="0"/>
    <n v="0"/>
    <n v="0"/>
    <n v="0"/>
    <m/>
    <n v="66.900000000000006"/>
  </r>
  <r>
    <x v="831"/>
    <d v="2025-05-31T00:00:00"/>
    <x v="1"/>
    <x v="3"/>
    <x v="2"/>
    <x v="1"/>
    <x v="0"/>
    <n v="1"/>
    <n v="1"/>
    <n v="1"/>
    <n v="0"/>
    <n v="0"/>
    <n v="0"/>
    <n v="0"/>
    <m/>
    <n v="58.8"/>
  </r>
  <r>
    <x v="832"/>
    <d v="2025-04-02T00:00:00"/>
    <x v="1"/>
    <x v="0"/>
    <x v="0"/>
    <x v="1"/>
    <x v="0"/>
    <n v="1"/>
    <n v="1"/>
    <n v="1"/>
    <n v="1"/>
    <n v="1010.4"/>
    <n v="0"/>
    <n v="0"/>
    <n v="4"/>
    <n v="42.9"/>
  </r>
  <r>
    <x v="833"/>
    <d v="2025-04-21T00:00:00"/>
    <x v="1"/>
    <x v="2"/>
    <x v="1"/>
    <x v="1"/>
    <x v="1"/>
    <n v="1"/>
    <n v="1"/>
    <n v="1"/>
    <n v="0"/>
    <n v="0"/>
    <n v="1"/>
    <n v="0"/>
    <m/>
    <n v="60.2"/>
  </r>
  <r>
    <x v="834"/>
    <d v="2025-05-05T00:00:00"/>
    <x v="1"/>
    <x v="2"/>
    <x v="1"/>
    <x v="2"/>
    <x v="0"/>
    <n v="1"/>
    <n v="0"/>
    <n v="0"/>
    <n v="0"/>
    <n v="0"/>
    <n v="0"/>
    <n v="0"/>
    <m/>
    <n v="42.7"/>
  </r>
  <r>
    <x v="835"/>
    <d v="2025-01-06T00:00:00"/>
    <x v="1"/>
    <x v="0"/>
    <x v="0"/>
    <x v="4"/>
    <x v="1"/>
    <n v="1"/>
    <n v="1"/>
    <n v="1"/>
    <n v="1"/>
    <n v="431.27"/>
    <n v="0"/>
    <n v="0"/>
    <n v="7"/>
    <n v="60.8"/>
  </r>
  <r>
    <x v="836"/>
    <d v="2025-04-24T00:00:00"/>
    <x v="1"/>
    <x v="3"/>
    <x v="1"/>
    <x v="3"/>
    <x v="1"/>
    <n v="1"/>
    <n v="1"/>
    <n v="1"/>
    <n v="1"/>
    <n v="428.8"/>
    <n v="0"/>
    <n v="0"/>
    <n v="9"/>
    <n v="79.3"/>
  </r>
  <r>
    <x v="837"/>
    <d v="2025-04-21T00:00:00"/>
    <x v="1"/>
    <x v="3"/>
    <x v="1"/>
    <x v="1"/>
    <x v="0"/>
    <n v="1"/>
    <n v="0"/>
    <n v="0"/>
    <n v="0"/>
    <n v="0"/>
    <n v="1"/>
    <n v="0"/>
    <m/>
    <n v="88.6"/>
  </r>
  <r>
    <x v="838"/>
    <d v="2025-02-09T00:00:00"/>
    <x v="1"/>
    <x v="1"/>
    <x v="1"/>
    <x v="1"/>
    <x v="0"/>
    <n v="1"/>
    <n v="1"/>
    <n v="1"/>
    <n v="0"/>
    <n v="0"/>
    <n v="0"/>
    <n v="0"/>
    <m/>
    <n v="63.1"/>
  </r>
  <r>
    <x v="839"/>
    <d v="2025-01-09T00:00:00"/>
    <x v="1"/>
    <x v="2"/>
    <x v="1"/>
    <x v="1"/>
    <x v="2"/>
    <n v="1"/>
    <n v="0"/>
    <n v="0"/>
    <n v="0"/>
    <n v="0"/>
    <n v="0"/>
    <n v="0"/>
    <m/>
    <n v="39.700000000000003"/>
  </r>
  <r>
    <x v="840"/>
    <d v="2025-02-16T00:00:00"/>
    <x v="1"/>
    <x v="0"/>
    <x v="1"/>
    <x v="2"/>
    <x v="0"/>
    <n v="0"/>
    <n v="0"/>
    <n v="0"/>
    <n v="0"/>
    <n v="0"/>
    <n v="0"/>
    <n v="0"/>
    <m/>
    <n v="67.2"/>
  </r>
  <r>
    <x v="841"/>
    <d v="2025-02-21T00:00:00"/>
    <x v="1"/>
    <x v="3"/>
    <x v="1"/>
    <x v="1"/>
    <x v="1"/>
    <n v="1"/>
    <n v="1"/>
    <n v="1"/>
    <n v="0"/>
    <n v="0"/>
    <n v="0"/>
    <n v="0"/>
    <m/>
    <n v="62.3"/>
  </r>
  <r>
    <x v="842"/>
    <d v="2025-02-08T00:00:00"/>
    <x v="1"/>
    <x v="3"/>
    <x v="1"/>
    <x v="1"/>
    <x v="2"/>
    <n v="1"/>
    <n v="0"/>
    <n v="0"/>
    <n v="0"/>
    <n v="0"/>
    <n v="0"/>
    <n v="0"/>
    <m/>
    <m/>
  </r>
  <r>
    <x v="843"/>
    <d v="2025-01-22T00:00:00"/>
    <x v="1"/>
    <x v="3"/>
    <x v="1"/>
    <x v="2"/>
    <x v="2"/>
    <n v="0"/>
    <n v="0"/>
    <n v="0"/>
    <n v="0"/>
    <n v="0"/>
    <n v="0"/>
    <n v="0"/>
    <m/>
    <n v="60.7"/>
  </r>
  <r>
    <x v="844"/>
    <d v="2025-04-01T00:00:00"/>
    <x v="1"/>
    <x v="1"/>
    <x v="1"/>
    <x v="1"/>
    <x v="0"/>
    <n v="1"/>
    <n v="0"/>
    <n v="0"/>
    <n v="0"/>
    <n v="0"/>
    <n v="0"/>
    <n v="0"/>
    <m/>
    <n v="61.5"/>
  </r>
  <r>
    <x v="845"/>
    <d v="2025-01-21T00:00:00"/>
    <x v="1"/>
    <x v="0"/>
    <x v="1"/>
    <x v="2"/>
    <x v="0"/>
    <n v="1"/>
    <n v="0"/>
    <n v="0"/>
    <n v="0"/>
    <n v="0"/>
    <n v="0"/>
    <n v="0"/>
    <m/>
    <n v="75"/>
  </r>
  <r>
    <x v="846"/>
    <d v="2025-01-02T00:00:00"/>
    <x v="1"/>
    <x v="2"/>
    <x v="0"/>
    <x v="1"/>
    <x v="1"/>
    <n v="1"/>
    <n v="1"/>
    <n v="0"/>
    <n v="0"/>
    <n v="0"/>
    <n v="0"/>
    <n v="0"/>
    <m/>
    <n v="51.9"/>
  </r>
  <r>
    <x v="847"/>
    <d v="2025-05-12T00:00:00"/>
    <x v="1"/>
    <x v="3"/>
    <x v="0"/>
    <x v="2"/>
    <x v="1"/>
    <n v="0"/>
    <n v="0"/>
    <n v="0"/>
    <n v="0"/>
    <n v="0"/>
    <n v="0"/>
    <n v="0"/>
    <m/>
    <n v="34.5"/>
  </r>
  <r>
    <x v="848"/>
    <d v="2025-03-05T00:00:00"/>
    <x v="1"/>
    <x v="3"/>
    <x v="1"/>
    <x v="4"/>
    <x v="0"/>
    <n v="0"/>
    <n v="0"/>
    <n v="0"/>
    <n v="0"/>
    <n v="0"/>
    <n v="0"/>
    <n v="0"/>
    <m/>
    <n v="54.5"/>
  </r>
  <r>
    <x v="849"/>
    <d v="2025-01-24T00:00:00"/>
    <x v="1"/>
    <x v="2"/>
    <x v="1"/>
    <x v="1"/>
    <x v="1"/>
    <n v="0"/>
    <n v="0"/>
    <n v="0"/>
    <n v="0"/>
    <n v="0"/>
    <n v="0"/>
    <n v="0"/>
    <m/>
    <n v="46"/>
  </r>
  <r>
    <x v="850"/>
    <d v="2025-01-31T00:00:00"/>
    <x v="1"/>
    <x v="2"/>
    <x v="0"/>
    <x v="0"/>
    <x v="1"/>
    <n v="1"/>
    <n v="1"/>
    <n v="1"/>
    <n v="0"/>
    <n v="0"/>
    <n v="0"/>
    <n v="0"/>
    <m/>
    <n v="88.4"/>
  </r>
  <r>
    <x v="851"/>
    <d v="2025-01-24T00:00:00"/>
    <x v="1"/>
    <x v="0"/>
    <x v="2"/>
    <x v="1"/>
    <x v="0"/>
    <n v="1"/>
    <n v="0"/>
    <n v="0"/>
    <n v="0"/>
    <n v="0"/>
    <n v="0"/>
    <n v="0"/>
    <m/>
    <n v="69.5"/>
  </r>
  <r>
    <x v="852"/>
    <d v="2025-02-14T00:00:00"/>
    <x v="1"/>
    <x v="0"/>
    <x v="0"/>
    <x v="3"/>
    <x v="0"/>
    <n v="1"/>
    <n v="1"/>
    <n v="1"/>
    <n v="0"/>
    <n v="0"/>
    <n v="0"/>
    <n v="0"/>
    <m/>
    <n v="74.2"/>
  </r>
  <r>
    <x v="853"/>
    <d v="2025-05-27T00:00:00"/>
    <x v="1"/>
    <x v="0"/>
    <x v="1"/>
    <x v="1"/>
    <x v="1"/>
    <n v="1"/>
    <n v="1"/>
    <n v="1"/>
    <n v="0"/>
    <n v="0"/>
    <n v="0"/>
    <n v="0"/>
    <m/>
    <n v="72.099999999999994"/>
  </r>
  <r>
    <x v="854"/>
    <d v="2025-02-28T00:00:00"/>
    <x v="1"/>
    <x v="0"/>
    <x v="1"/>
    <x v="2"/>
    <x v="1"/>
    <n v="1"/>
    <n v="1"/>
    <n v="1"/>
    <n v="1"/>
    <n v="398.33"/>
    <n v="0"/>
    <n v="0"/>
    <n v="5"/>
    <n v="85.1"/>
  </r>
  <r>
    <x v="855"/>
    <d v="2025-05-27T00:00:00"/>
    <x v="1"/>
    <x v="0"/>
    <x v="1"/>
    <x v="1"/>
    <x v="0"/>
    <n v="1"/>
    <n v="1"/>
    <n v="1"/>
    <n v="0"/>
    <n v="0"/>
    <n v="0"/>
    <n v="0"/>
    <m/>
    <n v="49.5"/>
  </r>
  <r>
    <x v="856"/>
    <d v="2025-05-17T00:00:00"/>
    <x v="1"/>
    <x v="3"/>
    <x v="1"/>
    <x v="2"/>
    <x v="2"/>
    <n v="0"/>
    <n v="0"/>
    <n v="0"/>
    <n v="0"/>
    <n v="0"/>
    <n v="1"/>
    <n v="0"/>
    <m/>
    <n v="79"/>
  </r>
  <r>
    <x v="857"/>
    <d v="2025-01-10T00:00:00"/>
    <x v="1"/>
    <x v="1"/>
    <x v="0"/>
    <x v="4"/>
    <x v="1"/>
    <n v="0"/>
    <n v="0"/>
    <n v="0"/>
    <n v="0"/>
    <n v="0"/>
    <n v="0"/>
    <n v="0"/>
    <m/>
    <n v="71.8"/>
  </r>
  <r>
    <x v="858"/>
    <d v="2025-04-22T00:00:00"/>
    <x v="1"/>
    <x v="0"/>
    <x v="1"/>
    <x v="0"/>
    <x v="0"/>
    <n v="1"/>
    <n v="1"/>
    <n v="1"/>
    <n v="1"/>
    <n v="1117.54"/>
    <n v="0"/>
    <n v="0"/>
    <n v="6"/>
    <n v="60.4"/>
  </r>
  <r>
    <x v="859"/>
    <d v="2025-03-02T00:00:00"/>
    <x v="1"/>
    <x v="3"/>
    <x v="0"/>
    <x v="1"/>
    <x v="0"/>
    <n v="1"/>
    <n v="0"/>
    <n v="0"/>
    <n v="0"/>
    <n v="0"/>
    <n v="2"/>
    <n v="0"/>
    <m/>
    <n v="38.299999999999997"/>
  </r>
  <r>
    <x v="860"/>
    <d v="2025-03-23T00:00:00"/>
    <x v="1"/>
    <x v="2"/>
    <x v="1"/>
    <x v="2"/>
    <x v="1"/>
    <n v="1"/>
    <n v="1"/>
    <n v="1"/>
    <n v="0"/>
    <n v="0"/>
    <n v="0"/>
    <n v="0"/>
    <m/>
    <n v="79.599999999999994"/>
  </r>
  <r>
    <x v="861"/>
    <d v="2025-02-12T00:00:00"/>
    <x v="1"/>
    <x v="2"/>
    <x v="1"/>
    <x v="0"/>
    <x v="1"/>
    <n v="1"/>
    <n v="1"/>
    <n v="1"/>
    <n v="0"/>
    <n v="0"/>
    <n v="0"/>
    <n v="0"/>
    <m/>
    <n v="71.900000000000006"/>
  </r>
  <r>
    <x v="862"/>
    <d v="2025-05-03T00:00:00"/>
    <x v="1"/>
    <x v="3"/>
    <x v="1"/>
    <x v="3"/>
    <x v="0"/>
    <n v="1"/>
    <n v="0"/>
    <n v="0"/>
    <n v="0"/>
    <n v="0"/>
    <n v="0"/>
    <n v="0"/>
    <m/>
    <n v="54.6"/>
  </r>
  <r>
    <x v="863"/>
    <d v="2025-03-28T00:00:00"/>
    <x v="1"/>
    <x v="0"/>
    <x v="0"/>
    <x v="4"/>
    <x v="1"/>
    <n v="1"/>
    <n v="0"/>
    <n v="0"/>
    <n v="0"/>
    <n v="0"/>
    <n v="3"/>
    <n v="0"/>
    <m/>
    <n v="49.3"/>
  </r>
  <r>
    <x v="864"/>
    <d v="2025-03-12T00:00:00"/>
    <x v="1"/>
    <x v="0"/>
    <x v="1"/>
    <x v="4"/>
    <x v="0"/>
    <n v="0"/>
    <n v="0"/>
    <n v="0"/>
    <n v="0"/>
    <n v="0"/>
    <n v="1"/>
    <n v="0"/>
    <m/>
    <n v="66.900000000000006"/>
  </r>
  <r>
    <x v="865"/>
    <d v="2025-04-27T00:00:00"/>
    <x v="1"/>
    <x v="2"/>
    <x v="1"/>
    <x v="2"/>
    <x v="1"/>
    <n v="1"/>
    <n v="0"/>
    <n v="0"/>
    <n v="0"/>
    <n v="0"/>
    <n v="1"/>
    <n v="0"/>
    <m/>
    <n v="77.8"/>
  </r>
  <r>
    <x v="866"/>
    <d v="2025-04-02T00:00:00"/>
    <x v="1"/>
    <x v="3"/>
    <x v="1"/>
    <x v="3"/>
    <x v="0"/>
    <n v="1"/>
    <n v="0"/>
    <n v="0"/>
    <n v="0"/>
    <n v="0"/>
    <n v="0"/>
    <n v="0"/>
    <m/>
    <n v="63"/>
  </r>
  <r>
    <x v="867"/>
    <d v="2025-04-21T00:00:00"/>
    <x v="1"/>
    <x v="0"/>
    <x v="1"/>
    <x v="4"/>
    <x v="1"/>
    <n v="0"/>
    <n v="0"/>
    <n v="0"/>
    <n v="0"/>
    <n v="0"/>
    <n v="0"/>
    <n v="0"/>
    <m/>
    <n v="79.8"/>
  </r>
  <r>
    <x v="868"/>
    <d v="2025-01-26T00:00:00"/>
    <x v="1"/>
    <x v="1"/>
    <x v="0"/>
    <x v="1"/>
    <x v="0"/>
    <n v="0"/>
    <n v="0"/>
    <n v="0"/>
    <n v="0"/>
    <n v="0"/>
    <n v="0"/>
    <n v="0"/>
    <m/>
    <n v="69.900000000000006"/>
  </r>
  <r>
    <x v="869"/>
    <d v="2025-01-06T00:00:00"/>
    <x v="1"/>
    <x v="1"/>
    <x v="1"/>
    <x v="1"/>
    <x v="1"/>
    <n v="0"/>
    <n v="0"/>
    <n v="0"/>
    <n v="0"/>
    <n v="0"/>
    <n v="1"/>
    <n v="0"/>
    <m/>
    <n v="66.400000000000006"/>
  </r>
  <r>
    <x v="870"/>
    <d v="2025-02-07T00:00:00"/>
    <x v="1"/>
    <x v="2"/>
    <x v="1"/>
    <x v="1"/>
    <x v="1"/>
    <n v="1"/>
    <n v="0"/>
    <n v="0"/>
    <n v="0"/>
    <n v="0"/>
    <n v="0"/>
    <n v="0"/>
    <m/>
    <n v="27.6"/>
  </r>
  <r>
    <x v="871"/>
    <d v="2025-05-07T00:00:00"/>
    <x v="1"/>
    <x v="1"/>
    <x v="1"/>
    <x v="1"/>
    <x v="2"/>
    <n v="1"/>
    <n v="0"/>
    <n v="0"/>
    <n v="0"/>
    <n v="0"/>
    <n v="1"/>
    <n v="0"/>
    <m/>
    <n v="56.5"/>
  </r>
  <r>
    <x v="872"/>
    <d v="2025-04-22T00:00:00"/>
    <x v="1"/>
    <x v="1"/>
    <x v="3"/>
    <x v="4"/>
    <x v="1"/>
    <n v="1"/>
    <n v="0"/>
    <n v="0"/>
    <n v="0"/>
    <n v="0"/>
    <n v="0"/>
    <n v="0"/>
    <m/>
    <n v="67.8"/>
  </r>
  <r>
    <x v="873"/>
    <d v="2025-05-04T00:00:00"/>
    <x v="1"/>
    <x v="1"/>
    <x v="0"/>
    <x v="4"/>
    <x v="1"/>
    <n v="1"/>
    <n v="0"/>
    <n v="0"/>
    <n v="0"/>
    <n v="0"/>
    <n v="0"/>
    <n v="0"/>
    <m/>
    <n v="80"/>
  </r>
  <r>
    <x v="874"/>
    <d v="2025-05-16T00:00:00"/>
    <x v="1"/>
    <x v="3"/>
    <x v="1"/>
    <x v="4"/>
    <x v="0"/>
    <n v="1"/>
    <n v="1"/>
    <n v="1"/>
    <n v="0"/>
    <n v="0"/>
    <n v="1"/>
    <n v="0"/>
    <m/>
    <n v="80.900000000000006"/>
  </r>
  <r>
    <x v="875"/>
    <d v="2025-02-11T00:00:00"/>
    <x v="1"/>
    <x v="1"/>
    <x v="1"/>
    <x v="2"/>
    <x v="1"/>
    <n v="0"/>
    <n v="0"/>
    <n v="0"/>
    <n v="0"/>
    <n v="0"/>
    <n v="0"/>
    <n v="0"/>
    <m/>
    <n v="34.5"/>
  </r>
  <r>
    <x v="876"/>
    <d v="2025-05-09T00:00:00"/>
    <x v="1"/>
    <x v="2"/>
    <x v="0"/>
    <x v="1"/>
    <x v="2"/>
    <n v="1"/>
    <n v="0"/>
    <n v="0"/>
    <n v="0"/>
    <n v="0"/>
    <n v="0"/>
    <n v="0"/>
    <m/>
    <n v="73.5"/>
  </r>
  <r>
    <x v="877"/>
    <d v="2025-02-09T00:00:00"/>
    <x v="1"/>
    <x v="3"/>
    <x v="0"/>
    <x v="2"/>
    <x v="1"/>
    <n v="1"/>
    <n v="1"/>
    <n v="0"/>
    <n v="0"/>
    <n v="0"/>
    <n v="0"/>
    <n v="0"/>
    <m/>
    <n v="70"/>
  </r>
  <r>
    <x v="878"/>
    <d v="2025-05-22T00:00:00"/>
    <x v="1"/>
    <x v="1"/>
    <x v="1"/>
    <x v="4"/>
    <x v="0"/>
    <n v="0"/>
    <n v="0"/>
    <n v="0"/>
    <n v="0"/>
    <n v="0"/>
    <n v="0"/>
    <n v="0"/>
    <m/>
    <n v="86.9"/>
  </r>
  <r>
    <x v="879"/>
    <d v="2025-05-24T00:00:00"/>
    <x v="1"/>
    <x v="2"/>
    <x v="1"/>
    <x v="4"/>
    <x v="0"/>
    <n v="0"/>
    <n v="0"/>
    <n v="0"/>
    <n v="0"/>
    <n v="0"/>
    <n v="0"/>
    <n v="0"/>
    <m/>
    <n v="66.900000000000006"/>
  </r>
  <r>
    <x v="880"/>
    <d v="2025-04-27T00:00:00"/>
    <x v="1"/>
    <x v="3"/>
    <x v="0"/>
    <x v="4"/>
    <x v="0"/>
    <n v="1"/>
    <n v="1"/>
    <n v="1"/>
    <n v="0"/>
    <n v="0"/>
    <n v="0"/>
    <n v="0"/>
    <m/>
    <n v="58.3"/>
  </r>
  <r>
    <x v="881"/>
    <d v="2025-03-19T00:00:00"/>
    <x v="1"/>
    <x v="2"/>
    <x v="1"/>
    <x v="2"/>
    <x v="1"/>
    <n v="1"/>
    <n v="0"/>
    <n v="0"/>
    <n v="0"/>
    <n v="0"/>
    <n v="0"/>
    <n v="0"/>
    <m/>
    <n v="45"/>
  </r>
  <r>
    <x v="882"/>
    <d v="2025-05-20T00:00:00"/>
    <x v="1"/>
    <x v="3"/>
    <x v="1"/>
    <x v="1"/>
    <x v="2"/>
    <n v="0"/>
    <n v="0"/>
    <n v="0"/>
    <n v="0"/>
    <n v="0"/>
    <n v="0"/>
    <n v="0"/>
    <m/>
    <n v="60.8"/>
  </r>
  <r>
    <x v="883"/>
    <d v="2025-05-10T00:00:00"/>
    <x v="1"/>
    <x v="0"/>
    <x v="1"/>
    <x v="0"/>
    <x v="2"/>
    <n v="1"/>
    <n v="0"/>
    <n v="0"/>
    <n v="0"/>
    <n v="0"/>
    <n v="4"/>
    <n v="0"/>
    <m/>
    <n v="53.7"/>
  </r>
  <r>
    <x v="884"/>
    <d v="2025-03-29T00:00:00"/>
    <x v="1"/>
    <x v="2"/>
    <x v="1"/>
    <x v="4"/>
    <x v="1"/>
    <n v="1"/>
    <n v="1"/>
    <n v="1"/>
    <n v="0"/>
    <n v="0"/>
    <n v="0"/>
    <n v="0"/>
    <m/>
    <n v="48.8"/>
  </r>
  <r>
    <x v="885"/>
    <d v="2025-04-03T00:00:00"/>
    <x v="1"/>
    <x v="1"/>
    <x v="0"/>
    <x v="3"/>
    <x v="0"/>
    <n v="0"/>
    <n v="0"/>
    <n v="0"/>
    <n v="0"/>
    <n v="0"/>
    <n v="0"/>
    <n v="0"/>
    <m/>
    <n v="52.9"/>
  </r>
  <r>
    <x v="886"/>
    <d v="2025-05-30T00:00:00"/>
    <x v="1"/>
    <x v="3"/>
    <x v="1"/>
    <x v="0"/>
    <x v="1"/>
    <n v="1"/>
    <n v="0"/>
    <n v="0"/>
    <n v="0"/>
    <n v="0"/>
    <n v="0"/>
    <n v="0"/>
    <m/>
    <n v="42.4"/>
  </r>
  <r>
    <x v="887"/>
    <d v="2025-04-06T00:00:00"/>
    <x v="1"/>
    <x v="2"/>
    <x v="0"/>
    <x v="0"/>
    <x v="1"/>
    <n v="1"/>
    <n v="0"/>
    <n v="0"/>
    <n v="0"/>
    <n v="0"/>
    <n v="0"/>
    <n v="0"/>
    <m/>
    <n v="58.7"/>
  </r>
  <r>
    <x v="888"/>
    <d v="2025-03-14T00:00:00"/>
    <x v="1"/>
    <x v="0"/>
    <x v="1"/>
    <x v="3"/>
    <x v="1"/>
    <n v="1"/>
    <n v="1"/>
    <n v="1"/>
    <n v="1"/>
    <n v="2064.5500000000002"/>
    <n v="0"/>
    <n v="0"/>
    <n v="1"/>
    <n v="67.8"/>
  </r>
  <r>
    <x v="889"/>
    <d v="2025-02-24T00:00:00"/>
    <x v="1"/>
    <x v="3"/>
    <x v="0"/>
    <x v="2"/>
    <x v="0"/>
    <n v="1"/>
    <n v="0"/>
    <n v="0"/>
    <n v="0"/>
    <n v="0"/>
    <n v="0"/>
    <n v="0"/>
    <m/>
    <n v="62.6"/>
  </r>
  <r>
    <x v="890"/>
    <d v="2025-03-04T00:00:00"/>
    <x v="1"/>
    <x v="1"/>
    <x v="1"/>
    <x v="0"/>
    <x v="0"/>
    <n v="1"/>
    <n v="0"/>
    <n v="0"/>
    <n v="0"/>
    <n v="0"/>
    <n v="0"/>
    <n v="0"/>
    <m/>
    <n v="82.4"/>
  </r>
  <r>
    <x v="891"/>
    <d v="2025-04-02T00:00:00"/>
    <x v="1"/>
    <x v="0"/>
    <x v="1"/>
    <x v="1"/>
    <x v="1"/>
    <n v="1"/>
    <n v="1"/>
    <n v="1"/>
    <n v="0"/>
    <n v="0"/>
    <n v="0"/>
    <n v="0"/>
    <m/>
    <n v="50.4"/>
  </r>
  <r>
    <x v="892"/>
    <d v="2025-05-11T00:00:00"/>
    <x v="1"/>
    <x v="0"/>
    <x v="1"/>
    <x v="0"/>
    <x v="2"/>
    <n v="0"/>
    <n v="0"/>
    <n v="0"/>
    <n v="0"/>
    <n v="0"/>
    <n v="0"/>
    <n v="0"/>
    <m/>
    <n v="68.400000000000006"/>
  </r>
  <r>
    <x v="893"/>
    <d v="2025-05-10T00:00:00"/>
    <x v="1"/>
    <x v="1"/>
    <x v="2"/>
    <x v="2"/>
    <x v="0"/>
    <n v="1"/>
    <n v="1"/>
    <n v="1"/>
    <n v="0"/>
    <n v="0"/>
    <n v="0"/>
    <n v="0"/>
    <m/>
    <n v="58.8"/>
  </r>
  <r>
    <x v="894"/>
    <d v="2025-05-06T00:00:00"/>
    <x v="1"/>
    <x v="1"/>
    <x v="1"/>
    <x v="3"/>
    <x v="1"/>
    <n v="1"/>
    <n v="1"/>
    <n v="0"/>
    <n v="0"/>
    <n v="0"/>
    <n v="2"/>
    <n v="0"/>
    <m/>
    <n v="28.3"/>
  </r>
  <r>
    <x v="895"/>
    <d v="2025-02-11T00:00:00"/>
    <x v="1"/>
    <x v="1"/>
    <x v="0"/>
    <x v="2"/>
    <x v="1"/>
    <n v="1"/>
    <n v="1"/>
    <n v="0"/>
    <n v="0"/>
    <n v="0"/>
    <n v="0"/>
    <n v="0"/>
    <m/>
    <n v="44.1"/>
  </r>
  <r>
    <x v="896"/>
    <d v="2025-05-09T00:00:00"/>
    <x v="1"/>
    <x v="3"/>
    <x v="1"/>
    <x v="2"/>
    <x v="2"/>
    <n v="1"/>
    <n v="1"/>
    <n v="0"/>
    <n v="0"/>
    <n v="0"/>
    <n v="0"/>
    <n v="0"/>
    <m/>
    <n v="66.7"/>
  </r>
  <r>
    <x v="897"/>
    <d v="2025-02-02T00:00:00"/>
    <x v="1"/>
    <x v="3"/>
    <x v="1"/>
    <x v="5"/>
    <x v="1"/>
    <n v="1"/>
    <n v="0"/>
    <n v="0"/>
    <n v="0"/>
    <n v="0"/>
    <n v="0"/>
    <n v="0"/>
    <m/>
    <n v="100"/>
  </r>
  <r>
    <x v="898"/>
    <d v="2025-04-03T00:00:00"/>
    <x v="1"/>
    <x v="3"/>
    <x v="1"/>
    <x v="4"/>
    <x v="1"/>
    <n v="1"/>
    <n v="1"/>
    <n v="0"/>
    <n v="0"/>
    <n v="0"/>
    <n v="0"/>
    <n v="0"/>
    <m/>
    <n v="87.5"/>
  </r>
  <r>
    <x v="899"/>
    <d v="2025-02-15T00:00:00"/>
    <x v="1"/>
    <x v="0"/>
    <x v="0"/>
    <x v="1"/>
    <x v="0"/>
    <n v="1"/>
    <n v="0"/>
    <n v="0"/>
    <n v="0"/>
    <n v="0"/>
    <n v="2"/>
    <n v="0"/>
    <m/>
    <n v="65.400000000000006"/>
  </r>
  <r>
    <x v="900"/>
    <d v="2025-04-18T00:00:00"/>
    <x v="1"/>
    <x v="3"/>
    <x v="0"/>
    <x v="1"/>
    <x v="1"/>
    <n v="1"/>
    <n v="0"/>
    <n v="0"/>
    <n v="0"/>
    <n v="0"/>
    <n v="0"/>
    <n v="0"/>
    <m/>
    <n v="22.9"/>
  </r>
  <r>
    <x v="901"/>
    <d v="2025-03-14T00:00:00"/>
    <x v="1"/>
    <x v="1"/>
    <x v="0"/>
    <x v="1"/>
    <x v="2"/>
    <n v="0"/>
    <n v="0"/>
    <n v="0"/>
    <n v="0"/>
    <n v="0"/>
    <n v="0"/>
    <n v="0"/>
    <m/>
    <n v="64.599999999999994"/>
  </r>
  <r>
    <x v="902"/>
    <d v="2025-03-29T00:00:00"/>
    <x v="1"/>
    <x v="3"/>
    <x v="1"/>
    <x v="3"/>
    <x v="1"/>
    <n v="1"/>
    <n v="0"/>
    <n v="0"/>
    <n v="0"/>
    <n v="0"/>
    <n v="2"/>
    <n v="0"/>
    <m/>
    <n v="54.4"/>
  </r>
  <r>
    <x v="903"/>
    <d v="2025-02-13T00:00:00"/>
    <x v="1"/>
    <x v="0"/>
    <x v="0"/>
    <x v="1"/>
    <x v="1"/>
    <n v="1"/>
    <n v="1"/>
    <n v="1"/>
    <n v="0"/>
    <n v="0"/>
    <n v="0"/>
    <n v="0"/>
    <m/>
    <n v="56.8"/>
  </r>
  <r>
    <x v="904"/>
    <d v="2025-01-23T00:00:00"/>
    <x v="1"/>
    <x v="3"/>
    <x v="1"/>
    <x v="2"/>
    <x v="1"/>
    <n v="1"/>
    <n v="1"/>
    <n v="1"/>
    <n v="1"/>
    <n v="341.38"/>
    <n v="0"/>
    <n v="0"/>
    <n v="2"/>
    <n v="63.6"/>
  </r>
  <r>
    <x v="905"/>
    <d v="2025-02-24T00:00:00"/>
    <x v="1"/>
    <x v="2"/>
    <x v="1"/>
    <x v="4"/>
    <x v="1"/>
    <n v="1"/>
    <n v="0"/>
    <n v="0"/>
    <n v="0"/>
    <n v="0"/>
    <n v="0"/>
    <n v="0"/>
    <m/>
    <n v="58.2"/>
  </r>
  <r>
    <x v="906"/>
    <d v="2025-02-28T00:00:00"/>
    <x v="1"/>
    <x v="1"/>
    <x v="1"/>
    <x v="2"/>
    <x v="1"/>
    <n v="1"/>
    <n v="1"/>
    <n v="0"/>
    <n v="0"/>
    <n v="0"/>
    <n v="0"/>
    <n v="0"/>
    <m/>
    <n v="54.6"/>
  </r>
  <r>
    <x v="907"/>
    <d v="2025-01-07T00:00:00"/>
    <x v="1"/>
    <x v="1"/>
    <x v="2"/>
    <x v="1"/>
    <x v="0"/>
    <n v="1"/>
    <n v="0"/>
    <n v="0"/>
    <n v="0"/>
    <n v="0"/>
    <n v="0"/>
    <n v="0"/>
    <m/>
    <n v="81.900000000000006"/>
  </r>
  <r>
    <x v="908"/>
    <d v="2025-03-21T00:00:00"/>
    <x v="1"/>
    <x v="1"/>
    <x v="0"/>
    <x v="0"/>
    <x v="1"/>
    <n v="1"/>
    <n v="0"/>
    <n v="0"/>
    <n v="0"/>
    <n v="0"/>
    <n v="3"/>
    <n v="0"/>
    <m/>
    <n v="53.3"/>
  </r>
  <r>
    <x v="909"/>
    <d v="2025-02-18T00:00:00"/>
    <x v="1"/>
    <x v="0"/>
    <x v="0"/>
    <x v="1"/>
    <x v="0"/>
    <n v="0"/>
    <n v="0"/>
    <n v="0"/>
    <n v="0"/>
    <n v="0"/>
    <n v="0"/>
    <n v="0"/>
    <m/>
    <n v="54.2"/>
  </r>
  <r>
    <x v="910"/>
    <d v="2025-01-05T00:00:00"/>
    <x v="1"/>
    <x v="0"/>
    <x v="1"/>
    <x v="2"/>
    <x v="1"/>
    <n v="1"/>
    <n v="1"/>
    <n v="0"/>
    <n v="0"/>
    <n v="0"/>
    <n v="0"/>
    <n v="0"/>
    <m/>
    <n v="65.599999999999994"/>
  </r>
  <r>
    <x v="911"/>
    <d v="2025-03-11T00:00:00"/>
    <x v="1"/>
    <x v="2"/>
    <x v="0"/>
    <x v="1"/>
    <x v="0"/>
    <n v="1"/>
    <n v="0"/>
    <n v="0"/>
    <n v="0"/>
    <n v="0"/>
    <n v="1"/>
    <n v="0"/>
    <m/>
    <n v="56.5"/>
  </r>
  <r>
    <x v="912"/>
    <d v="2025-01-09T00:00:00"/>
    <x v="1"/>
    <x v="0"/>
    <x v="0"/>
    <x v="1"/>
    <x v="0"/>
    <n v="1"/>
    <n v="0"/>
    <n v="0"/>
    <n v="0"/>
    <n v="0"/>
    <n v="0"/>
    <n v="0"/>
    <m/>
    <n v="59.7"/>
  </r>
  <r>
    <x v="913"/>
    <d v="2025-01-08T00:00:00"/>
    <x v="1"/>
    <x v="3"/>
    <x v="1"/>
    <x v="1"/>
    <x v="1"/>
    <n v="1"/>
    <n v="1"/>
    <n v="1"/>
    <n v="0"/>
    <n v="0"/>
    <n v="0"/>
    <n v="0"/>
    <m/>
    <n v="72.5"/>
  </r>
  <r>
    <x v="914"/>
    <d v="2025-05-01T00:00:00"/>
    <x v="1"/>
    <x v="2"/>
    <x v="0"/>
    <x v="2"/>
    <x v="1"/>
    <n v="1"/>
    <n v="0"/>
    <n v="0"/>
    <n v="0"/>
    <n v="0"/>
    <n v="0"/>
    <n v="0"/>
    <m/>
    <n v="64.3"/>
  </r>
  <r>
    <x v="915"/>
    <d v="2025-03-03T00:00:00"/>
    <x v="1"/>
    <x v="3"/>
    <x v="1"/>
    <x v="4"/>
    <x v="1"/>
    <n v="1"/>
    <n v="0"/>
    <n v="0"/>
    <n v="0"/>
    <n v="0"/>
    <n v="0"/>
    <n v="0"/>
    <m/>
    <n v="64.5"/>
  </r>
  <r>
    <x v="916"/>
    <d v="2025-02-23T00:00:00"/>
    <x v="1"/>
    <x v="1"/>
    <x v="0"/>
    <x v="4"/>
    <x v="0"/>
    <n v="1"/>
    <n v="1"/>
    <n v="1"/>
    <n v="0"/>
    <n v="0"/>
    <n v="0"/>
    <n v="0"/>
    <m/>
    <n v="70.599999999999994"/>
  </r>
  <r>
    <x v="917"/>
    <d v="2025-02-17T00:00:00"/>
    <x v="1"/>
    <x v="3"/>
    <x v="0"/>
    <x v="1"/>
    <x v="0"/>
    <n v="0"/>
    <n v="0"/>
    <n v="0"/>
    <n v="0"/>
    <n v="0"/>
    <n v="0"/>
    <n v="0"/>
    <m/>
    <n v="58.4"/>
  </r>
  <r>
    <x v="918"/>
    <d v="2025-05-21T00:00:00"/>
    <x v="1"/>
    <x v="2"/>
    <x v="1"/>
    <x v="1"/>
    <x v="0"/>
    <n v="1"/>
    <n v="0"/>
    <n v="0"/>
    <n v="0"/>
    <n v="0"/>
    <n v="0"/>
    <n v="0"/>
    <m/>
    <n v="56.6"/>
  </r>
  <r>
    <x v="919"/>
    <d v="2025-01-30T00:00:00"/>
    <x v="1"/>
    <x v="3"/>
    <x v="1"/>
    <x v="1"/>
    <x v="1"/>
    <n v="1"/>
    <n v="0"/>
    <n v="0"/>
    <n v="0"/>
    <n v="0"/>
    <n v="0"/>
    <n v="0"/>
    <m/>
    <n v="61.8"/>
  </r>
  <r>
    <x v="920"/>
    <d v="2025-03-20T00:00:00"/>
    <x v="1"/>
    <x v="1"/>
    <x v="1"/>
    <x v="0"/>
    <x v="1"/>
    <n v="1"/>
    <n v="1"/>
    <n v="1"/>
    <n v="1"/>
    <n v="513.52"/>
    <n v="0"/>
    <n v="0"/>
    <n v="8"/>
    <n v="43.4"/>
  </r>
  <r>
    <x v="921"/>
    <d v="2025-04-10T00:00:00"/>
    <x v="1"/>
    <x v="1"/>
    <x v="2"/>
    <x v="2"/>
    <x v="1"/>
    <n v="0"/>
    <n v="0"/>
    <n v="0"/>
    <n v="0"/>
    <n v="0"/>
    <n v="0"/>
    <n v="0"/>
    <m/>
    <n v="43"/>
  </r>
  <r>
    <x v="922"/>
    <d v="2025-03-07T00:00:00"/>
    <x v="1"/>
    <x v="0"/>
    <x v="0"/>
    <x v="1"/>
    <x v="1"/>
    <n v="1"/>
    <n v="1"/>
    <n v="1"/>
    <n v="0"/>
    <n v="0"/>
    <n v="0"/>
    <n v="0"/>
    <m/>
    <n v="51.1"/>
  </r>
  <r>
    <x v="923"/>
    <d v="2025-03-12T00:00:00"/>
    <x v="1"/>
    <x v="1"/>
    <x v="1"/>
    <x v="0"/>
    <x v="0"/>
    <n v="1"/>
    <n v="0"/>
    <n v="0"/>
    <n v="0"/>
    <n v="0"/>
    <n v="0"/>
    <n v="0"/>
    <m/>
    <n v="48.8"/>
  </r>
  <r>
    <x v="924"/>
    <d v="2025-02-24T00:00:00"/>
    <x v="1"/>
    <x v="2"/>
    <x v="1"/>
    <x v="3"/>
    <x v="1"/>
    <n v="0"/>
    <n v="0"/>
    <n v="0"/>
    <n v="0"/>
    <n v="0"/>
    <n v="0"/>
    <n v="0"/>
    <m/>
    <n v="73.2"/>
  </r>
  <r>
    <x v="925"/>
    <d v="2025-01-15T00:00:00"/>
    <x v="1"/>
    <x v="2"/>
    <x v="1"/>
    <x v="3"/>
    <x v="1"/>
    <n v="1"/>
    <n v="1"/>
    <n v="1"/>
    <n v="0"/>
    <n v="0"/>
    <n v="0"/>
    <n v="0"/>
    <m/>
    <n v="80"/>
  </r>
  <r>
    <x v="926"/>
    <d v="2025-01-07T00:00:00"/>
    <x v="1"/>
    <x v="0"/>
    <x v="0"/>
    <x v="2"/>
    <x v="1"/>
    <n v="1"/>
    <n v="0"/>
    <n v="0"/>
    <n v="0"/>
    <n v="0"/>
    <n v="0"/>
    <n v="0"/>
    <m/>
    <n v="52.3"/>
  </r>
  <r>
    <x v="927"/>
    <d v="2025-03-02T00:00:00"/>
    <x v="1"/>
    <x v="0"/>
    <x v="0"/>
    <x v="1"/>
    <x v="1"/>
    <n v="0"/>
    <n v="0"/>
    <n v="0"/>
    <n v="0"/>
    <n v="0"/>
    <n v="0"/>
    <n v="0"/>
    <m/>
    <n v="49.1"/>
  </r>
  <r>
    <x v="928"/>
    <d v="2025-01-05T00:00:00"/>
    <x v="1"/>
    <x v="3"/>
    <x v="0"/>
    <x v="3"/>
    <x v="0"/>
    <n v="0"/>
    <n v="0"/>
    <n v="0"/>
    <n v="0"/>
    <n v="0"/>
    <n v="0"/>
    <n v="0"/>
    <m/>
    <n v="45.3"/>
  </r>
  <r>
    <x v="929"/>
    <d v="2025-03-03T00:00:00"/>
    <x v="1"/>
    <x v="3"/>
    <x v="1"/>
    <x v="1"/>
    <x v="1"/>
    <n v="1"/>
    <n v="1"/>
    <n v="0"/>
    <n v="0"/>
    <n v="0"/>
    <n v="0"/>
    <n v="0"/>
    <m/>
    <n v="49.1"/>
  </r>
  <r>
    <x v="930"/>
    <d v="2025-03-31T00:00:00"/>
    <x v="1"/>
    <x v="2"/>
    <x v="0"/>
    <x v="3"/>
    <x v="1"/>
    <n v="1"/>
    <n v="1"/>
    <n v="1"/>
    <n v="1"/>
    <n v="476.44"/>
    <n v="0"/>
    <n v="0"/>
    <n v="3"/>
    <n v="88.6"/>
  </r>
  <r>
    <x v="931"/>
    <d v="2025-01-14T00:00:00"/>
    <x v="1"/>
    <x v="2"/>
    <x v="0"/>
    <x v="2"/>
    <x v="2"/>
    <n v="0"/>
    <n v="0"/>
    <n v="0"/>
    <n v="0"/>
    <n v="0"/>
    <n v="1"/>
    <n v="0"/>
    <m/>
    <n v="54.4"/>
  </r>
  <r>
    <x v="932"/>
    <d v="2025-01-15T00:00:00"/>
    <x v="1"/>
    <x v="1"/>
    <x v="0"/>
    <x v="2"/>
    <x v="2"/>
    <n v="1"/>
    <n v="0"/>
    <n v="0"/>
    <n v="0"/>
    <n v="0"/>
    <n v="0"/>
    <n v="0"/>
    <m/>
    <n v="72.900000000000006"/>
  </r>
  <r>
    <x v="933"/>
    <d v="2025-04-25T00:00:00"/>
    <x v="1"/>
    <x v="1"/>
    <x v="0"/>
    <x v="1"/>
    <x v="1"/>
    <n v="1"/>
    <n v="0"/>
    <n v="0"/>
    <n v="0"/>
    <n v="0"/>
    <n v="0"/>
    <n v="0"/>
    <m/>
    <n v="53.2"/>
  </r>
  <r>
    <x v="934"/>
    <d v="2025-03-21T00:00:00"/>
    <x v="1"/>
    <x v="2"/>
    <x v="1"/>
    <x v="1"/>
    <x v="0"/>
    <n v="1"/>
    <n v="1"/>
    <n v="0"/>
    <n v="0"/>
    <n v="0"/>
    <n v="0"/>
    <n v="0"/>
    <m/>
    <n v="48.7"/>
  </r>
  <r>
    <x v="935"/>
    <d v="2025-04-26T00:00:00"/>
    <x v="1"/>
    <x v="3"/>
    <x v="1"/>
    <x v="2"/>
    <x v="0"/>
    <n v="1"/>
    <n v="1"/>
    <n v="1"/>
    <n v="0"/>
    <n v="0"/>
    <n v="0"/>
    <n v="0"/>
    <m/>
    <n v="59.9"/>
  </r>
  <r>
    <x v="936"/>
    <d v="2025-05-21T00:00:00"/>
    <x v="1"/>
    <x v="3"/>
    <x v="0"/>
    <x v="5"/>
    <x v="0"/>
    <n v="0"/>
    <n v="0"/>
    <n v="0"/>
    <n v="0"/>
    <n v="0"/>
    <n v="0"/>
    <n v="0"/>
    <m/>
    <n v="82"/>
  </r>
  <r>
    <x v="937"/>
    <d v="2025-04-18T00:00:00"/>
    <x v="1"/>
    <x v="2"/>
    <x v="1"/>
    <x v="2"/>
    <x v="1"/>
    <n v="0"/>
    <n v="0"/>
    <n v="0"/>
    <n v="0"/>
    <n v="0"/>
    <n v="0"/>
    <n v="0"/>
    <m/>
    <n v="72.099999999999994"/>
  </r>
  <r>
    <x v="938"/>
    <d v="2025-01-29T00:00:00"/>
    <x v="1"/>
    <x v="0"/>
    <x v="0"/>
    <x v="0"/>
    <x v="2"/>
    <n v="1"/>
    <n v="1"/>
    <n v="0"/>
    <n v="0"/>
    <n v="0"/>
    <n v="0"/>
    <n v="0"/>
    <m/>
    <n v="68.3"/>
  </r>
  <r>
    <x v="939"/>
    <d v="2025-05-28T00:00:00"/>
    <x v="1"/>
    <x v="1"/>
    <x v="1"/>
    <x v="1"/>
    <x v="2"/>
    <n v="0"/>
    <n v="0"/>
    <n v="0"/>
    <n v="0"/>
    <n v="0"/>
    <n v="0"/>
    <n v="0"/>
    <m/>
    <n v="100"/>
  </r>
  <r>
    <x v="940"/>
    <d v="2025-01-15T00:00:00"/>
    <x v="1"/>
    <x v="2"/>
    <x v="1"/>
    <x v="0"/>
    <x v="1"/>
    <n v="1"/>
    <n v="1"/>
    <n v="1"/>
    <n v="0"/>
    <n v="0"/>
    <n v="2"/>
    <n v="0"/>
    <m/>
    <n v="76.5"/>
  </r>
  <r>
    <x v="941"/>
    <d v="2025-01-03T00:00:00"/>
    <x v="1"/>
    <x v="3"/>
    <x v="1"/>
    <x v="1"/>
    <x v="0"/>
    <n v="1"/>
    <n v="1"/>
    <n v="0"/>
    <n v="0"/>
    <n v="0"/>
    <n v="0"/>
    <n v="0"/>
    <m/>
    <n v="62"/>
  </r>
  <r>
    <x v="942"/>
    <d v="2025-02-04T00:00:00"/>
    <x v="1"/>
    <x v="3"/>
    <x v="1"/>
    <x v="2"/>
    <x v="1"/>
    <n v="1"/>
    <n v="1"/>
    <n v="1"/>
    <n v="1"/>
    <n v="324.68"/>
    <n v="1"/>
    <n v="0"/>
    <n v="7"/>
    <n v="50.1"/>
  </r>
  <r>
    <x v="943"/>
    <d v="2025-02-22T00:00:00"/>
    <x v="1"/>
    <x v="3"/>
    <x v="1"/>
    <x v="3"/>
    <x v="2"/>
    <n v="1"/>
    <n v="0"/>
    <n v="0"/>
    <n v="0"/>
    <n v="0"/>
    <n v="0"/>
    <n v="0"/>
    <m/>
    <n v="62.1"/>
  </r>
  <r>
    <x v="944"/>
    <d v="2025-05-06T00:00:00"/>
    <x v="1"/>
    <x v="1"/>
    <x v="1"/>
    <x v="1"/>
    <x v="0"/>
    <n v="1"/>
    <n v="0"/>
    <n v="0"/>
    <n v="0"/>
    <n v="0"/>
    <n v="0"/>
    <n v="0"/>
    <m/>
    <n v="49.7"/>
  </r>
  <r>
    <x v="945"/>
    <d v="2025-01-31T00:00:00"/>
    <x v="1"/>
    <x v="3"/>
    <x v="1"/>
    <x v="1"/>
    <x v="1"/>
    <n v="1"/>
    <n v="0"/>
    <n v="0"/>
    <n v="0"/>
    <n v="0"/>
    <n v="3"/>
    <n v="0"/>
    <m/>
    <n v="71.099999999999994"/>
  </r>
  <r>
    <x v="946"/>
    <d v="2025-02-18T00:00:00"/>
    <x v="1"/>
    <x v="0"/>
    <x v="1"/>
    <x v="4"/>
    <x v="0"/>
    <n v="0"/>
    <n v="0"/>
    <n v="0"/>
    <n v="0"/>
    <n v="0"/>
    <n v="0"/>
    <n v="0"/>
    <m/>
    <n v="70.8"/>
  </r>
  <r>
    <x v="947"/>
    <d v="2025-04-23T00:00:00"/>
    <x v="1"/>
    <x v="2"/>
    <x v="1"/>
    <x v="2"/>
    <x v="1"/>
    <n v="1"/>
    <n v="1"/>
    <n v="1"/>
    <n v="1"/>
    <n v="301.98"/>
    <n v="0"/>
    <n v="0"/>
    <n v="10"/>
    <n v="52.2"/>
  </r>
  <r>
    <x v="948"/>
    <d v="2025-02-06T00:00:00"/>
    <x v="1"/>
    <x v="0"/>
    <x v="1"/>
    <x v="1"/>
    <x v="1"/>
    <n v="1"/>
    <n v="1"/>
    <n v="1"/>
    <n v="0"/>
    <n v="0"/>
    <n v="0"/>
    <n v="0"/>
    <m/>
    <n v="73"/>
  </r>
  <r>
    <x v="949"/>
    <d v="2025-04-26T00:00:00"/>
    <x v="1"/>
    <x v="3"/>
    <x v="0"/>
    <x v="2"/>
    <x v="1"/>
    <n v="0"/>
    <n v="0"/>
    <n v="0"/>
    <n v="0"/>
    <n v="0"/>
    <n v="0"/>
    <n v="0"/>
    <m/>
    <n v="78.2"/>
  </r>
  <r>
    <x v="950"/>
    <d v="2025-03-30T00:00:00"/>
    <x v="1"/>
    <x v="1"/>
    <x v="0"/>
    <x v="2"/>
    <x v="0"/>
    <n v="1"/>
    <n v="0"/>
    <n v="0"/>
    <n v="0"/>
    <n v="0"/>
    <n v="0"/>
    <n v="0"/>
    <m/>
    <n v="68.8"/>
  </r>
  <r>
    <x v="951"/>
    <d v="2025-04-13T00:00:00"/>
    <x v="1"/>
    <x v="1"/>
    <x v="1"/>
    <x v="5"/>
    <x v="2"/>
    <n v="1"/>
    <n v="0"/>
    <n v="0"/>
    <n v="0"/>
    <n v="0"/>
    <n v="0"/>
    <n v="0"/>
    <m/>
    <n v="57.1"/>
  </r>
  <r>
    <x v="952"/>
    <d v="2025-04-04T00:00:00"/>
    <x v="1"/>
    <x v="2"/>
    <x v="0"/>
    <x v="1"/>
    <x v="2"/>
    <n v="0"/>
    <n v="0"/>
    <n v="0"/>
    <n v="0"/>
    <n v="0"/>
    <n v="1"/>
    <n v="0"/>
    <m/>
    <n v="74.599999999999994"/>
  </r>
  <r>
    <x v="953"/>
    <d v="2025-04-03T00:00:00"/>
    <x v="1"/>
    <x v="0"/>
    <x v="0"/>
    <x v="3"/>
    <x v="1"/>
    <n v="1"/>
    <n v="0"/>
    <n v="0"/>
    <n v="0"/>
    <n v="0"/>
    <n v="1"/>
    <n v="0"/>
    <m/>
    <n v="64.099999999999994"/>
  </r>
  <r>
    <x v="954"/>
    <d v="2025-03-14T00:00:00"/>
    <x v="1"/>
    <x v="1"/>
    <x v="1"/>
    <x v="2"/>
    <x v="2"/>
    <n v="1"/>
    <n v="0"/>
    <n v="0"/>
    <n v="0"/>
    <n v="0"/>
    <n v="0"/>
    <n v="0"/>
    <m/>
    <n v="67.3"/>
  </r>
  <r>
    <x v="955"/>
    <d v="2025-01-14T00:00:00"/>
    <x v="1"/>
    <x v="1"/>
    <x v="1"/>
    <x v="3"/>
    <x v="1"/>
    <n v="0"/>
    <n v="0"/>
    <n v="0"/>
    <n v="0"/>
    <n v="0"/>
    <n v="2"/>
    <n v="0"/>
    <m/>
    <n v="41"/>
  </r>
  <r>
    <x v="956"/>
    <d v="2025-05-05T00:00:00"/>
    <x v="1"/>
    <x v="1"/>
    <x v="1"/>
    <x v="2"/>
    <x v="1"/>
    <n v="0"/>
    <n v="0"/>
    <n v="0"/>
    <n v="0"/>
    <n v="0"/>
    <n v="0"/>
    <n v="0"/>
    <m/>
    <n v="48.1"/>
  </r>
  <r>
    <x v="957"/>
    <d v="2025-05-02T00:00:00"/>
    <x v="1"/>
    <x v="1"/>
    <x v="0"/>
    <x v="4"/>
    <x v="1"/>
    <n v="0"/>
    <n v="0"/>
    <n v="0"/>
    <n v="0"/>
    <n v="0"/>
    <n v="1"/>
    <n v="0"/>
    <m/>
    <n v="60.8"/>
  </r>
  <r>
    <x v="958"/>
    <d v="2025-05-21T00:00:00"/>
    <x v="1"/>
    <x v="2"/>
    <x v="1"/>
    <x v="1"/>
    <x v="1"/>
    <n v="1"/>
    <n v="0"/>
    <n v="0"/>
    <n v="0"/>
    <n v="0"/>
    <n v="0"/>
    <n v="0"/>
    <m/>
    <n v="63.1"/>
  </r>
  <r>
    <x v="959"/>
    <d v="2025-05-16T00:00:00"/>
    <x v="1"/>
    <x v="0"/>
    <x v="1"/>
    <x v="3"/>
    <x v="2"/>
    <n v="1"/>
    <n v="0"/>
    <n v="0"/>
    <n v="0"/>
    <n v="0"/>
    <n v="2"/>
    <n v="0"/>
    <m/>
    <n v="49.7"/>
  </r>
  <r>
    <x v="960"/>
    <d v="2025-05-24T00:00:00"/>
    <x v="1"/>
    <x v="2"/>
    <x v="0"/>
    <x v="1"/>
    <x v="2"/>
    <n v="1"/>
    <n v="1"/>
    <n v="1"/>
    <n v="0"/>
    <n v="0"/>
    <n v="1"/>
    <n v="0"/>
    <m/>
    <n v="83.4"/>
  </r>
  <r>
    <x v="961"/>
    <d v="2025-03-18T00:00:00"/>
    <x v="1"/>
    <x v="2"/>
    <x v="1"/>
    <x v="1"/>
    <x v="0"/>
    <n v="1"/>
    <n v="0"/>
    <n v="0"/>
    <n v="0"/>
    <n v="0"/>
    <n v="0"/>
    <n v="0"/>
    <m/>
    <n v="75.900000000000006"/>
  </r>
  <r>
    <x v="962"/>
    <d v="2025-01-11T00:00:00"/>
    <x v="1"/>
    <x v="2"/>
    <x v="0"/>
    <x v="2"/>
    <x v="1"/>
    <n v="0"/>
    <n v="0"/>
    <n v="0"/>
    <n v="0"/>
    <n v="0"/>
    <n v="1"/>
    <n v="0"/>
    <m/>
    <n v="71.8"/>
  </r>
  <r>
    <x v="963"/>
    <d v="2025-02-09T00:00:00"/>
    <x v="1"/>
    <x v="3"/>
    <x v="1"/>
    <x v="1"/>
    <x v="0"/>
    <n v="0"/>
    <n v="0"/>
    <n v="0"/>
    <n v="0"/>
    <n v="0"/>
    <n v="0"/>
    <n v="0"/>
    <m/>
    <n v="37.9"/>
  </r>
  <r>
    <x v="964"/>
    <d v="2025-03-01T00:00:00"/>
    <x v="1"/>
    <x v="0"/>
    <x v="0"/>
    <x v="4"/>
    <x v="1"/>
    <n v="1"/>
    <n v="0"/>
    <n v="0"/>
    <n v="0"/>
    <n v="0"/>
    <n v="0"/>
    <n v="0"/>
    <m/>
    <n v="59.8"/>
  </r>
  <r>
    <x v="965"/>
    <d v="2025-05-07T00:00:00"/>
    <x v="1"/>
    <x v="0"/>
    <x v="1"/>
    <x v="1"/>
    <x v="0"/>
    <n v="0"/>
    <n v="0"/>
    <n v="0"/>
    <n v="0"/>
    <n v="0"/>
    <n v="0"/>
    <n v="0"/>
    <m/>
    <n v="66.900000000000006"/>
  </r>
  <r>
    <x v="966"/>
    <d v="2025-02-19T00:00:00"/>
    <x v="1"/>
    <x v="3"/>
    <x v="0"/>
    <x v="5"/>
    <x v="1"/>
    <n v="1"/>
    <n v="0"/>
    <n v="0"/>
    <n v="0"/>
    <n v="0"/>
    <n v="0"/>
    <n v="0"/>
    <m/>
    <n v="59"/>
  </r>
  <r>
    <x v="967"/>
    <d v="2025-02-26T00:00:00"/>
    <x v="1"/>
    <x v="1"/>
    <x v="1"/>
    <x v="1"/>
    <x v="2"/>
    <n v="1"/>
    <n v="0"/>
    <n v="0"/>
    <n v="0"/>
    <n v="0"/>
    <n v="0"/>
    <n v="0"/>
    <m/>
    <n v="80.099999999999994"/>
  </r>
  <r>
    <x v="968"/>
    <d v="2025-03-23T00:00:00"/>
    <x v="1"/>
    <x v="3"/>
    <x v="1"/>
    <x v="4"/>
    <x v="1"/>
    <n v="0"/>
    <n v="0"/>
    <n v="0"/>
    <n v="0"/>
    <n v="0"/>
    <n v="0"/>
    <n v="0"/>
    <m/>
    <n v="64.3"/>
  </r>
  <r>
    <x v="969"/>
    <d v="2025-04-25T00:00:00"/>
    <x v="1"/>
    <x v="3"/>
    <x v="0"/>
    <x v="4"/>
    <x v="1"/>
    <n v="0"/>
    <n v="0"/>
    <n v="0"/>
    <n v="0"/>
    <n v="0"/>
    <n v="1"/>
    <n v="0"/>
    <m/>
    <n v="57.4"/>
  </r>
  <r>
    <x v="970"/>
    <d v="2025-05-10T00:00:00"/>
    <x v="1"/>
    <x v="0"/>
    <x v="0"/>
    <x v="4"/>
    <x v="1"/>
    <n v="1"/>
    <n v="1"/>
    <n v="1"/>
    <n v="0"/>
    <n v="0"/>
    <n v="0"/>
    <n v="0"/>
    <m/>
    <n v="83.6"/>
  </r>
  <r>
    <x v="971"/>
    <d v="2025-04-22T00:00:00"/>
    <x v="1"/>
    <x v="2"/>
    <x v="1"/>
    <x v="2"/>
    <x v="2"/>
    <n v="0"/>
    <n v="0"/>
    <n v="0"/>
    <n v="0"/>
    <n v="0"/>
    <n v="0"/>
    <n v="0"/>
    <m/>
    <n v="45.8"/>
  </r>
  <r>
    <x v="972"/>
    <d v="2025-02-18T00:00:00"/>
    <x v="1"/>
    <x v="1"/>
    <x v="1"/>
    <x v="3"/>
    <x v="0"/>
    <n v="1"/>
    <n v="1"/>
    <n v="1"/>
    <n v="0"/>
    <n v="0"/>
    <n v="0"/>
    <n v="0"/>
    <m/>
    <n v="64.3"/>
  </r>
  <r>
    <x v="973"/>
    <d v="2025-01-26T00:00:00"/>
    <x v="1"/>
    <x v="3"/>
    <x v="1"/>
    <x v="2"/>
    <x v="2"/>
    <n v="1"/>
    <n v="1"/>
    <n v="1"/>
    <n v="0"/>
    <n v="0"/>
    <n v="0"/>
    <n v="0"/>
    <m/>
    <n v="80.5"/>
  </r>
  <r>
    <x v="974"/>
    <d v="2025-04-28T00:00:00"/>
    <x v="1"/>
    <x v="0"/>
    <x v="1"/>
    <x v="1"/>
    <x v="1"/>
    <n v="1"/>
    <n v="0"/>
    <n v="0"/>
    <n v="0"/>
    <n v="0"/>
    <n v="0"/>
    <n v="0"/>
    <m/>
    <n v="46.3"/>
  </r>
  <r>
    <x v="975"/>
    <d v="2025-04-02T00:00:00"/>
    <x v="1"/>
    <x v="3"/>
    <x v="0"/>
    <x v="0"/>
    <x v="0"/>
    <n v="1"/>
    <n v="0"/>
    <n v="0"/>
    <n v="0"/>
    <n v="0"/>
    <n v="0"/>
    <n v="0"/>
    <m/>
    <n v="71.599999999999994"/>
  </r>
  <r>
    <x v="976"/>
    <d v="2025-04-12T00:00:00"/>
    <x v="1"/>
    <x v="3"/>
    <x v="0"/>
    <x v="0"/>
    <x v="2"/>
    <n v="1"/>
    <n v="1"/>
    <n v="0"/>
    <n v="0"/>
    <n v="0"/>
    <n v="0"/>
    <n v="0"/>
    <m/>
    <n v="57.8"/>
  </r>
  <r>
    <x v="977"/>
    <d v="2025-01-03T00:00:00"/>
    <x v="1"/>
    <x v="1"/>
    <x v="0"/>
    <x v="0"/>
    <x v="0"/>
    <n v="1"/>
    <n v="1"/>
    <n v="1"/>
    <n v="0"/>
    <n v="0"/>
    <n v="1"/>
    <n v="0"/>
    <m/>
    <n v="57.8"/>
  </r>
  <r>
    <x v="978"/>
    <d v="2025-05-08T00:00:00"/>
    <x v="1"/>
    <x v="0"/>
    <x v="1"/>
    <x v="2"/>
    <x v="1"/>
    <n v="1"/>
    <n v="0"/>
    <n v="0"/>
    <n v="0"/>
    <n v="0"/>
    <n v="0"/>
    <n v="0"/>
    <m/>
    <n v="38.299999999999997"/>
  </r>
  <r>
    <x v="979"/>
    <d v="2025-02-20T00:00:00"/>
    <x v="1"/>
    <x v="0"/>
    <x v="1"/>
    <x v="3"/>
    <x v="2"/>
    <n v="1"/>
    <n v="0"/>
    <n v="0"/>
    <n v="0"/>
    <n v="0"/>
    <n v="1"/>
    <n v="0"/>
    <m/>
    <n v="66.099999999999994"/>
  </r>
  <r>
    <x v="980"/>
    <d v="2025-03-17T00:00:00"/>
    <x v="1"/>
    <x v="0"/>
    <x v="0"/>
    <x v="2"/>
    <x v="2"/>
    <n v="1"/>
    <n v="0"/>
    <n v="0"/>
    <n v="0"/>
    <n v="0"/>
    <n v="0"/>
    <n v="0"/>
    <m/>
    <n v="66.5"/>
  </r>
  <r>
    <x v="981"/>
    <d v="2025-04-10T00:00:00"/>
    <x v="1"/>
    <x v="3"/>
    <x v="0"/>
    <x v="0"/>
    <x v="1"/>
    <n v="1"/>
    <n v="0"/>
    <n v="0"/>
    <n v="0"/>
    <n v="0"/>
    <n v="3"/>
    <n v="0"/>
    <m/>
    <n v="51.5"/>
  </r>
  <r>
    <x v="982"/>
    <d v="2025-05-08T00:00:00"/>
    <x v="1"/>
    <x v="0"/>
    <x v="0"/>
    <x v="3"/>
    <x v="1"/>
    <n v="1"/>
    <n v="0"/>
    <n v="0"/>
    <n v="0"/>
    <n v="0"/>
    <n v="0"/>
    <n v="0"/>
    <m/>
    <n v="59.9"/>
  </r>
  <r>
    <x v="983"/>
    <d v="2025-04-19T00:00:00"/>
    <x v="1"/>
    <x v="1"/>
    <x v="1"/>
    <x v="2"/>
    <x v="0"/>
    <n v="1"/>
    <n v="0"/>
    <n v="0"/>
    <n v="0"/>
    <n v="0"/>
    <n v="0"/>
    <n v="0"/>
    <m/>
    <n v="58.8"/>
  </r>
  <r>
    <x v="984"/>
    <d v="2025-01-01T00:00:00"/>
    <x v="1"/>
    <x v="3"/>
    <x v="2"/>
    <x v="2"/>
    <x v="0"/>
    <n v="1"/>
    <n v="0"/>
    <n v="0"/>
    <n v="0"/>
    <n v="0"/>
    <n v="0"/>
    <n v="0"/>
    <m/>
    <n v="69.599999999999994"/>
  </r>
  <r>
    <x v="985"/>
    <d v="2025-03-10T00:00:00"/>
    <x v="1"/>
    <x v="2"/>
    <x v="1"/>
    <x v="2"/>
    <x v="1"/>
    <n v="1"/>
    <n v="0"/>
    <n v="0"/>
    <n v="0"/>
    <n v="0"/>
    <n v="0"/>
    <n v="0"/>
    <m/>
    <n v="77.5"/>
  </r>
  <r>
    <x v="986"/>
    <d v="2025-03-10T00:00:00"/>
    <x v="1"/>
    <x v="2"/>
    <x v="2"/>
    <x v="4"/>
    <x v="2"/>
    <n v="0"/>
    <n v="0"/>
    <n v="0"/>
    <n v="0"/>
    <n v="0"/>
    <n v="2"/>
    <n v="0"/>
    <m/>
    <n v="57.5"/>
  </r>
  <r>
    <x v="987"/>
    <d v="2025-04-19T00:00:00"/>
    <x v="1"/>
    <x v="1"/>
    <x v="2"/>
    <x v="0"/>
    <x v="0"/>
    <n v="1"/>
    <n v="0"/>
    <n v="0"/>
    <n v="0"/>
    <n v="0"/>
    <n v="0"/>
    <n v="0"/>
    <m/>
    <n v="64.2"/>
  </r>
  <r>
    <x v="988"/>
    <d v="2025-04-11T00:00:00"/>
    <x v="1"/>
    <x v="1"/>
    <x v="0"/>
    <x v="1"/>
    <x v="1"/>
    <n v="0"/>
    <n v="0"/>
    <n v="0"/>
    <n v="0"/>
    <n v="0"/>
    <n v="0"/>
    <n v="0"/>
    <m/>
    <n v="60"/>
  </r>
  <r>
    <x v="989"/>
    <d v="2025-04-10T00:00:00"/>
    <x v="1"/>
    <x v="2"/>
    <x v="1"/>
    <x v="1"/>
    <x v="0"/>
    <n v="1"/>
    <n v="0"/>
    <n v="0"/>
    <n v="0"/>
    <n v="0"/>
    <n v="1"/>
    <n v="0"/>
    <m/>
    <n v="43.7"/>
  </r>
  <r>
    <x v="990"/>
    <d v="2025-01-13T00:00:00"/>
    <x v="1"/>
    <x v="1"/>
    <x v="0"/>
    <x v="4"/>
    <x v="1"/>
    <n v="1"/>
    <n v="0"/>
    <n v="0"/>
    <n v="0"/>
    <n v="0"/>
    <n v="0"/>
    <n v="0"/>
    <m/>
    <n v="64.900000000000006"/>
  </r>
  <r>
    <x v="991"/>
    <d v="2025-03-28T00:00:00"/>
    <x v="1"/>
    <x v="3"/>
    <x v="0"/>
    <x v="1"/>
    <x v="1"/>
    <n v="1"/>
    <n v="1"/>
    <n v="0"/>
    <n v="0"/>
    <n v="0"/>
    <n v="0"/>
    <n v="0"/>
    <m/>
    <n v="45.5"/>
  </r>
  <r>
    <x v="992"/>
    <d v="2025-01-29T00:00:00"/>
    <x v="1"/>
    <x v="2"/>
    <x v="1"/>
    <x v="2"/>
    <x v="1"/>
    <n v="1"/>
    <n v="1"/>
    <n v="1"/>
    <n v="1"/>
    <n v="1772.97"/>
    <n v="0"/>
    <n v="0"/>
    <n v="8"/>
    <n v="61.2"/>
  </r>
  <r>
    <x v="993"/>
    <d v="2025-03-27T00:00:00"/>
    <x v="1"/>
    <x v="3"/>
    <x v="1"/>
    <x v="3"/>
    <x v="1"/>
    <n v="0"/>
    <n v="0"/>
    <n v="0"/>
    <n v="0"/>
    <n v="0"/>
    <n v="0"/>
    <n v="0"/>
    <m/>
    <n v="87.8"/>
  </r>
  <r>
    <x v="994"/>
    <d v="2025-03-20T00:00:00"/>
    <x v="1"/>
    <x v="2"/>
    <x v="2"/>
    <x v="4"/>
    <x v="1"/>
    <n v="0"/>
    <n v="0"/>
    <n v="0"/>
    <n v="0"/>
    <n v="0"/>
    <n v="0"/>
    <n v="0"/>
    <m/>
    <n v="86.4"/>
  </r>
  <r>
    <x v="995"/>
    <d v="2025-01-09T00:00:00"/>
    <x v="1"/>
    <x v="0"/>
    <x v="1"/>
    <x v="2"/>
    <x v="0"/>
    <n v="0"/>
    <n v="0"/>
    <n v="0"/>
    <n v="0"/>
    <n v="0"/>
    <n v="1"/>
    <n v="0"/>
    <m/>
    <n v="71.400000000000006"/>
  </r>
  <r>
    <x v="996"/>
    <d v="2025-04-25T00:00:00"/>
    <x v="1"/>
    <x v="1"/>
    <x v="1"/>
    <x v="4"/>
    <x v="1"/>
    <n v="1"/>
    <n v="1"/>
    <n v="1"/>
    <n v="1"/>
    <n v="218.66"/>
    <n v="0"/>
    <n v="1"/>
    <n v="8"/>
    <n v="72.2"/>
  </r>
  <r>
    <x v="997"/>
    <d v="2025-04-11T00:00:00"/>
    <x v="1"/>
    <x v="3"/>
    <x v="0"/>
    <x v="4"/>
    <x v="1"/>
    <n v="1"/>
    <n v="0"/>
    <n v="0"/>
    <n v="0"/>
    <n v="0"/>
    <n v="0"/>
    <n v="0"/>
    <m/>
    <n v="51.9"/>
  </r>
  <r>
    <x v="998"/>
    <d v="2025-02-05T00:00:00"/>
    <x v="1"/>
    <x v="2"/>
    <x v="1"/>
    <x v="4"/>
    <x v="0"/>
    <n v="1"/>
    <n v="1"/>
    <n v="1"/>
    <n v="0"/>
    <n v="0"/>
    <n v="0"/>
    <n v="0"/>
    <m/>
    <n v="70.3"/>
  </r>
  <r>
    <x v="999"/>
    <d v="2025-03-28T00:00:00"/>
    <x v="1"/>
    <x v="3"/>
    <x v="1"/>
    <x v="4"/>
    <x v="2"/>
    <n v="1"/>
    <n v="0"/>
    <n v="0"/>
    <n v="0"/>
    <n v="0"/>
    <n v="1"/>
    <n v="0"/>
    <m/>
    <n v="49.2"/>
  </r>
  <r>
    <x v="1000"/>
    <d v="2025-05-14T00:00:00"/>
    <x v="1"/>
    <x v="3"/>
    <x v="1"/>
    <x v="3"/>
    <x v="1"/>
    <n v="0"/>
    <n v="0"/>
    <n v="0"/>
    <n v="0"/>
    <n v="0"/>
    <n v="0"/>
    <n v="0"/>
    <m/>
    <n v="52.2"/>
  </r>
  <r>
    <x v="1001"/>
    <d v="2025-03-10T00:00:00"/>
    <x v="1"/>
    <x v="2"/>
    <x v="1"/>
    <x v="2"/>
    <x v="0"/>
    <n v="0"/>
    <n v="0"/>
    <n v="0"/>
    <n v="0"/>
    <n v="0"/>
    <n v="1"/>
    <n v="0"/>
    <m/>
    <n v="62.6"/>
  </r>
  <r>
    <x v="1002"/>
    <d v="2025-04-09T00:00:00"/>
    <x v="1"/>
    <x v="2"/>
    <x v="0"/>
    <x v="2"/>
    <x v="1"/>
    <n v="1"/>
    <n v="1"/>
    <n v="0"/>
    <n v="0"/>
    <n v="0"/>
    <n v="0"/>
    <n v="0"/>
    <m/>
    <n v="100"/>
  </r>
  <r>
    <x v="1003"/>
    <d v="2025-02-13T00:00:00"/>
    <x v="1"/>
    <x v="0"/>
    <x v="1"/>
    <x v="3"/>
    <x v="0"/>
    <n v="1"/>
    <n v="1"/>
    <n v="1"/>
    <n v="0"/>
    <n v="0"/>
    <n v="2"/>
    <n v="0"/>
    <m/>
    <n v="45.9"/>
  </r>
  <r>
    <x v="1004"/>
    <d v="2025-05-03T00:00:00"/>
    <x v="1"/>
    <x v="2"/>
    <x v="1"/>
    <x v="0"/>
    <x v="1"/>
    <n v="1"/>
    <n v="1"/>
    <n v="1"/>
    <n v="0"/>
    <n v="0"/>
    <n v="0"/>
    <n v="0"/>
    <m/>
    <n v="80.7"/>
  </r>
  <r>
    <x v="1005"/>
    <d v="2025-04-16T00:00:00"/>
    <x v="1"/>
    <x v="3"/>
    <x v="0"/>
    <x v="3"/>
    <x v="2"/>
    <n v="1"/>
    <n v="0"/>
    <n v="0"/>
    <n v="0"/>
    <n v="0"/>
    <n v="0"/>
    <n v="0"/>
    <m/>
    <n v="51.9"/>
  </r>
  <r>
    <x v="1006"/>
    <d v="2025-04-30T00:00:00"/>
    <x v="1"/>
    <x v="0"/>
    <x v="1"/>
    <x v="2"/>
    <x v="2"/>
    <n v="1"/>
    <n v="0"/>
    <n v="0"/>
    <n v="0"/>
    <n v="0"/>
    <n v="0"/>
    <n v="0"/>
    <m/>
    <n v="68.900000000000006"/>
  </r>
  <r>
    <x v="1007"/>
    <d v="2025-02-18T00:00:00"/>
    <x v="1"/>
    <x v="1"/>
    <x v="0"/>
    <x v="1"/>
    <x v="1"/>
    <n v="1"/>
    <n v="0"/>
    <n v="0"/>
    <n v="0"/>
    <n v="0"/>
    <n v="0"/>
    <n v="0"/>
    <m/>
    <n v="66"/>
  </r>
  <r>
    <x v="1008"/>
    <d v="2025-05-22T00:00:00"/>
    <x v="1"/>
    <x v="1"/>
    <x v="0"/>
    <x v="3"/>
    <x v="0"/>
    <n v="0"/>
    <n v="0"/>
    <n v="0"/>
    <n v="0"/>
    <n v="0"/>
    <n v="0"/>
    <n v="0"/>
    <m/>
    <n v="63.1"/>
  </r>
  <r>
    <x v="1009"/>
    <d v="2025-05-21T00:00:00"/>
    <x v="1"/>
    <x v="3"/>
    <x v="0"/>
    <x v="1"/>
    <x v="1"/>
    <n v="0"/>
    <n v="0"/>
    <n v="0"/>
    <n v="0"/>
    <n v="0"/>
    <n v="0"/>
    <n v="0"/>
    <m/>
    <n v="56"/>
  </r>
  <r>
    <x v="1010"/>
    <d v="2025-04-10T00:00:00"/>
    <x v="1"/>
    <x v="2"/>
    <x v="0"/>
    <x v="1"/>
    <x v="1"/>
    <n v="1"/>
    <n v="0"/>
    <n v="0"/>
    <n v="0"/>
    <n v="0"/>
    <n v="1"/>
    <n v="0"/>
    <m/>
    <n v="65.7"/>
  </r>
  <r>
    <x v="1011"/>
    <d v="2025-01-07T00:00:00"/>
    <x v="1"/>
    <x v="0"/>
    <x v="0"/>
    <x v="1"/>
    <x v="2"/>
    <n v="1"/>
    <n v="1"/>
    <n v="1"/>
    <n v="1"/>
    <n v="1938.31"/>
    <n v="1"/>
    <n v="0"/>
    <n v="9"/>
    <n v="60.9"/>
  </r>
  <r>
    <x v="1012"/>
    <d v="2025-02-03T00:00:00"/>
    <x v="1"/>
    <x v="3"/>
    <x v="0"/>
    <x v="4"/>
    <x v="1"/>
    <n v="0"/>
    <n v="0"/>
    <n v="0"/>
    <n v="0"/>
    <n v="0"/>
    <n v="0"/>
    <n v="0"/>
    <m/>
    <n v="45.5"/>
  </r>
  <r>
    <x v="1013"/>
    <d v="2025-05-18T00:00:00"/>
    <x v="1"/>
    <x v="0"/>
    <x v="1"/>
    <x v="2"/>
    <x v="1"/>
    <n v="1"/>
    <n v="0"/>
    <n v="0"/>
    <n v="0"/>
    <n v="0"/>
    <n v="0"/>
    <n v="0"/>
    <m/>
    <n v="50"/>
  </r>
  <r>
    <x v="1014"/>
    <d v="2025-01-31T00:00:00"/>
    <x v="1"/>
    <x v="0"/>
    <x v="1"/>
    <x v="3"/>
    <x v="1"/>
    <n v="1"/>
    <n v="0"/>
    <n v="0"/>
    <n v="0"/>
    <n v="0"/>
    <n v="0"/>
    <n v="0"/>
    <m/>
    <n v="72.099999999999994"/>
  </r>
  <r>
    <x v="1015"/>
    <d v="2025-01-16T00:00:00"/>
    <x v="1"/>
    <x v="3"/>
    <x v="0"/>
    <x v="1"/>
    <x v="0"/>
    <n v="1"/>
    <n v="0"/>
    <n v="0"/>
    <n v="0"/>
    <n v="0"/>
    <n v="0"/>
    <n v="0"/>
    <m/>
    <n v="76.3"/>
  </r>
  <r>
    <x v="1016"/>
    <d v="2025-05-14T00:00:00"/>
    <x v="1"/>
    <x v="2"/>
    <x v="1"/>
    <x v="2"/>
    <x v="0"/>
    <n v="1"/>
    <n v="1"/>
    <n v="0"/>
    <n v="0"/>
    <n v="0"/>
    <n v="1"/>
    <n v="0"/>
    <m/>
    <n v="54.8"/>
  </r>
  <r>
    <x v="1017"/>
    <d v="2025-04-01T00:00:00"/>
    <x v="1"/>
    <x v="3"/>
    <x v="1"/>
    <x v="5"/>
    <x v="0"/>
    <n v="1"/>
    <n v="0"/>
    <n v="0"/>
    <n v="0"/>
    <n v="0"/>
    <n v="0"/>
    <n v="0"/>
    <m/>
    <n v="63.6"/>
  </r>
  <r>
    <x v="1018"/>
    <d v="2025-04-23T00:00:00"/>
    <x v="1"/>
    <x v="3"/>
    <x v="1"/>
    <x v="1"/>
    <x v="1"/>
    <n v="1"/>
    <n v="0"/>
    <n v="0"/>
    <n v="0"/>
    <n v="0"/>
    <n v="0"/>
    <n v="0"/>
    <m/>
    <n v="68.8"/>
  </r>
  <r>
    <x v="1019"/>
    <d v="2025-03-02T00:00:00"/>
    <x v="1"/>
    <x v="3"/>
    <x v="0"/>
    <x v="2"/>
    <x v="0"/>
    <n v="1"/>
    <n v="0"/>
    <n v="0"/>
    <n v="0"/>
    <n v="0"/>
    <n v="0"/>
    <n v="0"/>
    <m/>
    <n v="63.2"/>
  </r>
  <r>
    <x v="1020"/>
    <d v="2025-01-02T00:00:00"/>
    <x v="1"/>
    <x v="2"/>
    <x v="1"/>
    <x v="2"/>
    <x v="0"/>
    <n v="0"/>
    <n v="0"/>
    <n v="0"/>
    <n v="0"/>
    <n v="0"/>
    <n v="0"/>
    <n v="0"/>
    <m/>
    <n v="45"/>
  </r>
  <r>
    <x v="1021"/>
    <d v="2025-05-04T00:00:00"/>
    <x v="1"/>
    <x v="3"/>
    <x v="1"/>
    <x v="1"/>
    <x v="1"/>
    <n v="1"/>
    <n v="0"/>
    <n v="0"/>
    <n v="0"/>
    <n v="0"/>
    <n v="0"/>
    <n v="0"/>
    <m/>
    <n v="77.400000000000006"/>
  </r>
  <r>
    <x v="1022"/>
    <d v="2025-01-16T00:00:00"/>
    <x v="1"/>
    <x v="2"/>
    <x v="0"/>
    <x v="2"/>
    <x v="0"/>
    <n v="0"/>
    <n v="0"/>
    <n v="0"/>
    <n v="0"/>
    <n v="0"/>
    <n v="0"/>
    <n v="0"/>
    <m/>
    <n v="53.1"/>
  </r>
  <r>
    <x v="1023"/>
    <d v="2025-02-11T00:00:00"/>
    <x v="1"/>
    <x v="1"/>
    <x v="2"/>
    <x v="2"/>
    <x v="2"/>
    <n v="0"/>
    <n v="0"/>
    <n v="0"/>
    <n v="0"/>
    <n v="0"/>
    <n v="0"/>
    <n v="0"/>
    <m/>
    <n v="74"/>
  </r>
  <r>
    <x v="1024"/>
    <d v="2025-04-03T00:00:00"/>
    <x v="1"/>
    <x v="0"/>
    <x v="1"/>
    <x v="4"/>
    <x v="2"/>
    <n v="1"/>
    <n v="1"/>
    <n v="1"/>
    <n v="1"/>
    <n v="1906.23"/>
    <n v="0"/>
    <n v="0"/>
    <n v="4"/>
    <n v="84.6"/>
  </r>
  <r>
    <x v="1025"/>
    <d v="2025-03-26T00:00:00"/>
    <x v="1"/>
    <x v="2"/>
    <x v="1"/>
    <x v="3"/>
    <x v="1"/>
    <n v="1"/>
    <n v="0"/>
    <n v="0"/>
    <n v="0"/>
    <n v="0"/>
    <n v="0"/>
    <n v="0"/>
    <m/>
    <n v="57"/>
  </r>
  <r>
    <x v="1026"/>
    <d v="2025-05-16T00:00:00"/>
    <x v="1"/>
    <x v="3"/>
    <x v="1"/>
    <x v="0"/>
    <x v="2"/>
    <n v="0"/>
    <n v="0"/>
    <n v="0"/>
    <n v="0"/>
    <n v="0"/>
    <n v="0"/>
    <n v="0"/>
    <m/>
    <n v="46.3"/>
  </r>
  <r>
    <x v="1027"/>
    <d v="2025-04-20T00:00:00"/>
    <x v="1"/>
    <x v="1"/>
    <x v="1"/>
    <x v="4"/>
    <x v="1"/>
    <n v="0"/>
    <n v="0"/>
    <n v="0"/>
    <n v="0"/>
    <n v="0"/>
    <n v="1"/>
    <n v="0"/>
    <m/>
    <n v="64.400000000000006"/>
  </r>
  <r>
    <x v="1028"/>
    <d v="2025-04-15T00:00:00"/>
    <x v="1"/>
    <x v="1"/>
    <x v="1"/>
    <x v="2"/>
    <x v="1"/>
    <n v="1"/>
    <n v="0"/>
    <n v="0"/>
    <n v="0"/>
    <n v="0"/>
    <n v="2"/>
    <n v="0"/>
    <m/>
    <n v="61.9"/>
  </r>
  <r>
    <x v="1029"/>
    <d v="2025-01-24T00:00:00"/>
    <x v="1"/>
    <x v="0"/>
    <x v="1"/>
    <x v="1"/>
    <x v="2"/>
    <n v="1"/>
    <n v="1"/>
    <n v="1"/>
    <n v="0"/>
    <n v="0"/>
    <n v="0"/>
    <n v="0"/>
    <m/>
    <n v="93.7"/>
  </r>
  <r>
    <x v="1030"/>
    <d v="2025-04-11T00:00:00"/>
    <x v="1"/>
    <x v="3"/>
    <x v="1"/>
    <x v="3"/>
    <x v="0"/>
    <n v="0"/>
    <n v="0"/>
    <n v="0"/>
    <n v="0"/>
    <n v="0"/>
    <n v="0"/>
    <n v="0"/>
    <m/>
    <n v="61.6"/>
  </r>
  <r>
    <x v="1031"/>
    <d v="2025-05-19T00:00:00"/>
    <x v="1"/>
    <x v="0"/>
    <x v="1"/>
    <x v="2"/>
    <x v="1"/>
    <n v="1"/>
    <n v="0"/>
    <n v="0"/>
    <n v="0"/>
    <n v="0"/>
    <n v="0"/>
    <n v="0"/>
    <m/>
    <n v="72.2"/>
  </r>
  <r>
    <x v="1032"/>
    <d v="2025-01-14T00:00:00"/>
    <x v="1"/>
    <x v="0"/>
    <x v="1"/>
    <x v="1"/>
    <x v="0"/>
    <n v="0"/>
    <n v="0"/>
    <n v="0"/>
    <n v="0"/>
    <n v="0"/>
    <n v="0"/>
    <n v="0"/>
    <m/>
    <n v="69.5"/>
  </r>
  <r>
    <x v="1033"/>
    <d v="2025-02-28T00:00:00"/>
    <x v="1"/>
    <x v="2"/>
    <x v="0"/>
    <x v="1"/>
    <x v="0"/>
    <n v="0"/>
    <n v="0"/>
    <n v="0"/>
    <n v="0"/>
    <n v="0"/>
    <n v="0"/>
    <n v="0"/>
    <m/>
    <n v="59.7"/>
  </r>
  <r>
    <x v="1034"/>
    <d v="2025-05-18T00:00:00"/>
    <x v="1"/>
    <x v="2"/>
    <x v="2"/>
    <x v="2"/>
    <x v="0"/>
    <n v="1"/>
    <n v="0"/>
    <n v="0"/>
    <n v="0"/>
    <n v="0"/>
    <n v="0"/>
    <n v="0"/>
    <m/>
    <n v="73.900000000000006"/>
  </r>
  <r>
    <x v="1035"/>
    <d v="2025-01-04T00:00:00"/>
    <x v="1"/>
    <x v="0"/>
    <x v="1"/>
    <x v="4"/>
    <x v="1"/>
    <n v="0"/>
    <n v="0"/>
    <n v="0"/>
    <n v="0"/>
    <n v="0"/>
    <n v="0"/>
    <n v="0"/>
    <m/>
    <n v="41.5"/>
  </r>
  <r>
    <x v="1036"/>
    <d v="2025-01-16T00:00:00"/>
    <x v="1"/>
    <x v="1"/>
    <x v="1"/>
    <x v="4"/>
    <x v="2"/>
    <n v="1"/>
    <n v="0"/>
    <n v="0"/>
    <n v="0"/>
    <n v="0"/>
    <n v="0"/>
    <n v="0"/>
    <m/>
    <n v="82.8"/>
  </r>
  <r>
    <x v="1037"/>
    <d v="2025-03-14T00:00:00"/>
    <x v="1"/>
    <x v="1"/>
    <x v="1"/>
    <x v="4"/>
    <x v="2"/>
    <n v="1"/>
    <n v="0"/>
    <n v="0"/>
    <n v="0"/>
    <n v="0"/>
    <n v="3"/>
    <n v="0"/>
    <m/>
    <n v="70.2"/>
  </r>
  <r>
    <x v="1038"/>
    <d v="2025-01-23T00:00:00"/>
    <x v="1"/>
    <x v="2"/>
    <x v="1"/>
    <x v="2"/>
    <x v="0"/>
    <n v="1"/>
    <n v="0"/>
    <n v="0"/>
    <n v="0"/>
    <n v="0"/>
    <n v="1"/>
    <n v="0"/>
    <m/>
    <n v="69.400000000000006"/>
  </r>
  <r>
    <x v="1039"/>
    <d v="2025-02-03T00:00:00"/>
    <x v="1"/>
    <x v="0"/>
    <x v="0"/>
    <x v="1"/>
    <x v="0"/>
    <n v="1"/>
    <n v="0"/>
    <n v="0"/>
    <n v="0"/>
    <n v="0"/>
    <n v="0"/>
    <n v="0"/>
    <m/>
    <n v="60.4"/>
  </r>
  <r>
    <x v="1040"/>
    <d v="2025-05-16T00:00:00"/>
    <x v="1"/>
    <x v="2"/>
    <x v="1"/>
    <x v="3"/>
    <x v="1"/>
    <n v="1"/>
    <n v="0"/>
    <n v="0"/>
    <n v="0"/>
    <n v="0"/>
    <n v="0"/>
    <n v="0"/>
    <m/>
    <n v="45.7"/>
  </r>
  <r>
    <x v="1041"/>
    <d v="2025-01-11T00:00:00"/>
    <x v="1"/>
    <x v="1"/>
    <x v="1"/>
    <x v="1"/>
    <x v="0"/>
    <n v="0"/>
    <n v="0"/>
    <n v="0"/>
    <n v="0"/>
    <n v="0"/>
    <n v="1"/>
    <n v="0"/>
    <m/>
    <n v="42.2"/>
  </r>
  <r>
    <x v="1042"/>
    <d v="2025-05-25T00:00:00"/>
    <x v="1"/>
    <x v="0"/>
    <x v="0"/>
    <x v="1"/>
    <x v="1"/>
    <n v="0"/>
    <n v="0"/>
    <n v="0"/>
    <n v="0"/>
    <n v="0"/>
    <n v="2"/>
    <n v="0"/>
    <m/>
    <n v="61.9"/>
  </r>
  <r>
    <x v="1043"/>
    <d v="2025-05-08T00:00:00"/>
    <x v="1"/>
    <x v="2"/>
    <x v="1"/>
    <x v="2"/>
    <x v="2"/>
    <n v="0"/>
    <n v="0"/>
    <n v="0"/>
    <n v="0"/>
    <n v="0"/>
    <n v="0"/>
    <n v="0"/>
    <m/>
    <n v="44.9"/>
  </r>
  <r>
    <x v="1044"/>
    <d v="2025-02-26T00:00:00"/>
    <x v="1"/>
    <x v="2"/>
    <x v="0"/>
    <x v="5"/>
    <x v="0"/>
    <n v="1"/>
    <n v="0"/>
    <n v="0"/>
    <n v="0"/>
    <n v="0"/>
    <n v="0"/>
    <n v="0"/>
    <m/>
    <n v="68"/>
  </r>
  <r>
    <x v="1045"/>
    <d v="2025-03-30T00:00:00"/>
    <x v="1"/>
    <x v="0"/>
    <x v="1"/>
    <x v="2"/>
    <x v="1"/>
    <n v="1"/>
    <n v="0"/>
    <n v="0"/>
    <n v="0"/>
    <n v="0"/>
    <n v="0"/>
    <n v="0"/>
    <m/>
    <n v="61"/>
  </r>
  <r>
    <x v="1046"/>
    <d v="2025-04-13T00:00:00"/>
    <x v="1"/>
    <x v="1"/>
    <x v="1"/>
    <x v="1"/>
    <x v="0"/>
    <n v="1"/>
    <n v="0"/>
    <n v="0"/>
    <n v="0"/>
    <n v="0"/>
    <n v="0"/>
    <n v="0"/>
    <m/>
    <n v="55"/>
  </r>
  <r>
    <x v="1047"/>
    <d v="2025-02-20T00:00:00"/>
    <x v="1"/>
    <x v="2"/>
    <x v="3"/>
    <x v="2"/>
    <x v="0"/>
    <n v="1"/>
    <n v="0"/>
    <n v="0"/>
    <n v="0"/>
    <n v="0"/>
    <n v="0"/>
    <n v="0"/>
    <m/>
    <n v="63.1"/>
  </r>
  <r>
    <x v="1048"/>
    <d v="2025-04-19T00:00:00"/>
    <x v="1"/>
    <x v="1"/>
    <x v="0"/>
    <x v="4"/>
    <x v="1"/>
    <n v="1"/>
    <n v="0"/>
    <n v="0"/>
    <n v="0"/>
    <n v="0"/>
    <n v="0"/>
    <n v="0"/>
    <m/>
    <n v="75.8"/>
  </r>
  <r>
    <x v="1049"/>
    <d v="2025-03-22T00:00:00"/>
    <x v="1"/>
    <x v="3"/>
    <x v="1"/>
    <x v="2"/>
    <x v="1"/>
    <n v="1"/>
    <n v="1"/>
    <n v="0"/>
    <n v="0"/>
    <n v="0"/>
    <n v="1"/>
    <n v="0"/>
    <m/>
    <n v="43.8"/>
  </r>
  <r>
    <x v="1050"/>
    <d v="2025-02-28T00:00:00"/>
    <x v="1"/>
    <x v="0"/>
    <x v="1"/>
    <x v="0"/>
    <x v="0"/>
    <n v="1"/>
    <n v="1"/>
    <n v="0"/>
    <n v="0"/>
    <n v="0"/>
    <n v="0"/>
    <n v="0"/>
    <m/>
    <n v="46.8"/>
  </r>
  <r>
    <x v="1051"/>
    <d v="2025-05-24T00:00:00"/>
    <x v="1"/>
    <x v="2"/>
    <x v="1"/>
    <x v="4"/>
    <x v="1"/>
    <n v="1"/>
    <n v="1"/>
    <n v="1"/>
    <n v="0"/>
    <n v="0"/>
    <n v="0"/>
    <n v="0"/>
    <m/>
    <n v="97.4"/>
  </r>
  <r>
    <x v="1052"/>
    <d v="2025-02-03T00:00:00"/>
    <x v="1"/>
    <x v="0"/>
    <x v="0"/>
    <x v="0"/>
    <x v="1"/>
    <n v="1"/>
    <n v="1"/>
    <n v="1"/>
    <n v="1"/>
    <n v="268.95999999999998"/>
    <n v="0"/>
    <n v="0"/>
    <n v="14"/>
    <n v="81"/>
  </r>
  <r>
    <x v="1053"/>
    <d v="2025-01-27T00:00:00"/>
    <x v="1"/>
    <x v="3"/>
    <x v="1"/>
    <x v="1"/>
    <x v="1"/>
    <n v="1"/>
    <n v="0"/>
    <n v="0"/>
    <n v="0"/>
    <n v="0"/>
    <n v="1"/>
    <n v="0"/>
    <m/>
    <n v="58.9"/>
  </r>
  <r>
    <x v="1054"/>
    <d v="2025-04-17T00:00:00"/>
    <x v="1"/>
    <x v="2"/>
    <x v="1"/>
    <x v="1"/>
    <x v="1"/>
    <n v="1"/>
    <n v="0"/>
    <n v="0"/>
    <n v="0"/>
    <n v="0"/>
    <n v="0"/>
    <n v="0"/>
    <m/>
    <n v="51.9"/>
  </r>
  <r>
    <x v="1055"/>
    <d v="2025-02-06T00:00:00"/>
    <x v="1"/>
    <x v="1"/>
    <x v="1"/>
    <x v="4"/>
    <x v="1"/>
    <n v="1"/>
    <n v="1"/>
    <n v="0"/>
    <n v="0"/>
    <n v="0"/>
    <n v="0"/>
    <n v="0"/>
    <m/>
    <n v="61.7"/>
  </r>
  <r>
    <x v="1056"/>
    <d v="2025-04-20T00:00:00"/>
    <x v="1"/>
    <x v="3"/>
    <x v="1"/>
    <x v="2"/>
    <x v="1"/>
    <n v="1"/>
    <n v="0"/>
    <n v="0"/>
    <n v="0"/>
    <n v="0"/>
    <n v="0"/>
    <n v="0"/>
    <m/>
    <n v="44.7"/>
  </r>
  <r>
    <x v="1057"/>
    <d v="2025-05-06T00:00:00"/>
    <x v="1"/>
    <x v="0"/>
    <x v="1"/>
    <x v="2"/>
    <x v="0"/>
    <n v="0"/>
    <n v="0"/>
    <n v="0"/>
    <n v="0"/>
    <n v="0"/>
    <n v="0"/>
    <n v="0"/>
    <m/>
    <n v="63.2"/>
  </r>
  <r>
    <x v="1058"/>
    <d v="2025-05-16T00:00:00"/>
    <x v="1"/>
    <x v="3"/>
    <x v="1"/>
    <x v="1"/>
    <x v="1"/>
    <n v="1"/>
    <n v="0"/>
    <n v="0"/>
    <n v="0"/>
    <n v="0"/>
    <n v="0"/>
    <n v="0"/>
    <m/>
    <n v="70.3"/>
  </r>
  <r>
    <x v="1059"/>
    <d v="2025-03-02T00:00:00"/>
    <x v="1"/>
    <x v="3"/>
    <x v="1"/>
    <x v="2"/>
    <x v="2"/>
    <n v="1"/>
    <n v="1"/>
    <n v="0"/>
    <n v="0"/>
    <n v="0"/>
    <n v="1"/>
    <n v="0"/>
    <m/>
    <n v="83.1"/>
  </r>
  <r>
    <x v="1060"/>
    <d v="2025-04-09T00:00:00"/>
    <x v="1"/>
    <x v="1"/>
    <x v="1"/>
    <x v="4"/>
    <x v="1"/>
    <n v="0"/>
    <n v="0"/>
    <n v="0"/>
    <n v="0"/>
    <n v="0"/>
    <n v="0"/>
    <n v="0"/>
    <m/>
    <n v="50.3"/>
  </r>
  <r>
    <x v="1061"/>
    <d v="2025-01-26T00:00:00"/>
    <x v="1"/>
    <x v="2"/>
    <x v="1"/>
    <x v="2"/>
    <x v="1"/>
    <n v="1"/>
    <n v="1"/>
    <n v="1"/>
    <n v="1"/>
    <n v="437.09"/>
    <n v="2"/>
    <n v="1"/>
    <n v="1"/>
    <n v="58.2"/>
  </r>
  <r>
    <x v="1062"/>
    <d v="2025-02-25T00:00:00"/>
    <x v="1"/>
    <x v="3"/>
    <x v="1"/>
    <x v="2"/>
    <x v="0"/>
    <n v="1"/>
    <n v="1"/>
    <n v="1"/>
    <n v="0"/>
    <n v="0"/>
    <n v="0"/>
    <n v="0"/>
    <m/>
    <n v="53.2"/>
  </r>
  <r>
    <x v="1063"/>
    <d v="2025-01-07T00:00:00"/>
    <x v="1"/>
    <x v="2"/>
    <x v="1"/>
    <x v="1"/>
    <x v="2"/>
    <n v="0"/>
    <n v="0"/>
    <n v="0"/>
    <n v="0"/>
    <n v="0"/>
    <n v="0"/>
    <n v="0"/>
    <m/>
    <n v="36.4"/>
  </r>
  <r>
    <x v="1064"/>
    <d v="2025-03-08T00:00:00"/>
    <x v="1"/>
    <x v="3"/>
    <x v="1"/>
    <x v="4"/>
    <x v="0"/>
    <n v="1"/>
    <n v="1"/>
    <n v="1"/>
    <n v="0"/>
    <n v="0"/>
    <n v="0"/>
    <n v="0"/>
    <m/>
    <n v="72.7"/>
  </r>
  <r>
    <x v="1065"/>
    <d v="2025-05-22T00:00:00"/>
    <x v="1"/>
    <x v="2"/>
    <x v="1"/>
    <x v="3"/>
    <x v="1"/>
    <n v="1"/>
    <n v="0"/>
    <n v="0"/>
    <n v="0"/>
    <n v="0"/>
    <n v="1"/>
    <n v="0"/>
    <m/>
    <n v="86.7"/>
  </r>
  <r>
    <x v="1066"/>
    <d v="2025-04-18T00:00:00"/>
    <x v="1"/>
    <x v="2"/>
    <x v="1"/>
    <x v="2"/>
    <x v="2"/>
    <n v="1"/>
    <n v="0"/>
    <n v="0"/>
    <n v="0"/>
    <n v="0"/>
    <n v="0"/>
    <n v="0"/>
    <m/>
    <n v="48.2"/>
  </r>
  <r>
    <x v="1067"/>
    <d v="2025-02-24T00:00:00"/>
    <x v="1"/>
    <x v="1"/>
    <x v="1"/>
    <x v="3"/>
    <x v="0"/>
    <n v="0"/>
    <n v="0"/>
    <n v="0"/>
    <n v="0"/>
    <n v="0"/>
    <n v="1"/>
    <n v="0"/>
    <m/>
    <n v="57.6"/>
  </r>
  <r>
    <x v="1068"/>
    <d v="2025-02-11T00:00:00"/>
    <x v="1"/>
    <x v="0"/>
    <x v="1"/>
    <x v="1"/>
    <x v="1"/>
    <n v="1"/>
    <n v="1"/>
    <n v="1"/>
    <n v="0"/>
    <n v="0"/>
    <n v="0"/>
    <n v="0"/>
    <m/>
    <n v="75.7"/>
  </r>
  <r>
    <x v="1069"/>
    <d v="2025-03-11T00:00:00"/>
    <x v="1"/>
    <x v="1"/>
    <x v="0"/>
    <x v="2"/>
    <x v="1"/>
    <n v="1"/>
    <n v="0"/>
    <n v="0"/>
    <n v="0"/>
    <n v="0"/>
    <n v="2"/>
    <n v="0"/>
    <m/>
    <n v="48.6"/>
  </r>
  <r>
    <x v="1070"/>
    <d v="2025-04-11T00:00:00"/>
    <x v="1"/>
    <x v="2"/>
    <x v="2"/>
    <x v="3"/>
    <x v="1"/>
    <n v="1"/>
    <n v="1"/>
    <n v="1"/>
    <n v="0"/>
    <n v="0"/>
    <n v="0"/>
    <n v="0"/>
    <m/>
    <n v="72"/>
  </r>
  <r>
    <x v="1071"/>
    <d v="2025-03-11T00:00:00"/>
    <x v="1"/>
    <x v="0"/>
    <x v="1"/>
    <x v="1"/>
    <x v="1"/>
    <n v="0"/>
    <n v="0"/>
    <n v="0"/>
    <n v="0"/>
    <n v="0"/>
    <n v="0"/>
    <n v="0"/>
    <m/>
    <n v="72.2"/>
  </r>
  <r>
    <x v="1072"/>
    <d v="2025-05-22T00:00:00"/>
    <x v="1"/>
    <x v="2"/>
    <x v="1"/>
    <x v="3"/>
    <x v="1"/>
    <n v="1"/>
    <n v="0"/>
    <n v="0"/>
    <n v="0"/>
    <n v="0"/>
    <n v="1"/>
    <n v="0"/>
    <m/>
    <m/>
  </r>
  <r>
    <x v="1073"/>
    <d v="2025-02-22T00:00:00"/>
    <x v="1"/>
    <x v="3"/>
    <x v="0"/>
    <x v="1"/>
    <x v="1"/>
    <n v="1"/>
    <n v="1"/>
    <n v="1"/>
    <n v="1"/>
    <n v="331.53"/>
    <n v="2"/>
    <n v="0"/>
    <n v="4"/>
    <n v="56.8"/>
  </r>
  <r>
    <x v="1074"/>
    <d v="2025-01-13T00:00:00"/>
    <x v="1"/>
    <x v="2"/>
    <x v="1"/>
    <x v="2"/>
    <x v="0"/>
    <n v="1"/>
    <n v="0"/>
    <n v="0"/>
    <n v="0"/>
    <n v="0"/>
    <n v="0"/>
    <n v="0"/>
    <m/>
    <n v="62.5"/>
  </r>
  <r>
    <x v="1075"/>
    <d v="2025-05-19T00:00:00"/>
    <x v="1"/>
    <x v="3"/>
    <x v="1"/>
    <x v="1"/>
    <x v="1"/>
    <n v="1"/>
    <n v="0"/>
    <n v="0"/>
    <n v="0"/>
    <n v="0"/>
    <n v="0"/>
    <n v="0"/>
    <m/>
    <n v="63.4"/>
  </r>
  <r>
    <x v="1076"/>
    <d v="2025-03-08T00:00:00"/>
    <x v="1"/>
    <x v="0"/>
    <x v="2"/>
    <x v="1"/>
    <x v="0"/>
    <n v="1"/>
    <n v="1"/>
    <n v="1"/>
    <n v="1"/>
    <n v="774.78"/>
    <n v="0"/>
    <n v="0"/>
    <n v="3"/>
    <n v="46.8"/>
  </r>
  <r>
    <x v="1077"/>
    <d v="2025-04-20T00:00:00"/>
    <x v="1"/>
    <x v="3"/>
    <x v="1"/>
    <x v="1"/>
    <x v="1"/>
    <n v="1"/>
    <n v="1"/>
    <n v="1"/>
    <n v="1"/>
    <n v="422.02"/>
    <n v="0"/>
    <n v="0"/>
    <n v="8"/>
    <n v="86.5"/>
  </r>
  <r>
    <x v="1078"/>
    <d v="2025-05-08T00:00:00"/>
    <x v="1"/>
    <x v="1"/>
    <x v="1"/>
    <x v="0"/>
    <x v="0"/>
    <n v="0"/>
    <n v="0"/>
    <n v="0"/>
    <n v="0"/>
    <n v="0"/>
    <n v="1"/>
    <n v="0"/>
    <m/>
    <n v="75.099999999999994"/>
  </r>
  <r>
    <x v="1079"/>
    <d v="2025-05-10T00:00:00"/>
    <x v="1"/>
    <x v="3"/>
    <x v="1"/>
    <x v="1"/>
    <x v="0"/>
    <n v="1"/>
    <n v="0"/>
    <n v="0"/>
    <n v="0"/>
    <n v="0"/>
    <n v="0"/>
    <n v="0"/>
    <m/>
    <n v="64.5"/>
  </r>
  <r>
    <x v="1080"/>
    <d v="2025-03-28T00:00:00"/>
    <x v="1"/>
    <x v="2"/>
    <x v="1"/>
    <x v="1"/>
    <x v="1"/>
    <n v="1"/>
    <n v="0"/>
    <n v="0"/>
    <n v="0"/>
    <n v="0"/>
    <n v="0"/>
    <n v="0"/>
    <m/>
    <n v="54.2"/>
  </r>
  <r>
    <x v="1081"/>
    <d v="2025-04-30T00:00:00"/>
    <x v="1"/>
    <x v="2"/>
    <x v="1"/>
    <x v="2"/>
    <x v="2"/>
    <n v="1"/>
    <n v="1"/>
    <n v="1"/>
    <n v="0"/>
    <n v="0"/>
    <n v="0"/>
    <n v="0"/>
    <m/>
    <n v="84.1"/>
  </r>
  <r>
    <x v="1082"/>
    <d v="2025-02-08T00:00:00"/>
    <x v="1"/>
    <x v="0"/>
    <x v="1"/>
    <x v="1"/>
    <x v="0"/>
    <n v="0"/>
    <n v="0"/>
    <n v="0"/>
    <n v="0"/>
    <n v="0"/>
    <n v="1"/>
    <n v="0"/>
    <m/>
    <n v="49.1"/>
  </r>
  <r>
    <x v="1083"/>
    <d v="2025-03-07T00:00:00"/>
    <x v="1"/>
    <x v="3"/>
    <x v="1"/>
    <x v="3"/>
    <x v="2"/>
    <n v="0"/>
    <n v="0"/>
    <n v="0"/>
    <n v="0"/>
    <n v="0"/>
    <n v="0"/>
    <n v="0"/>
    <m/>
    <n v="92.7"/>
  </r>
  <r>
    <x v="1084"/>
    <d v="2025-05-21T00:00:00"/>
    <x v="1"/>
    <x v="3"/>
    <x v="1"/>
    <x v="4"/>
    <x v="0"/>
    <n v="1"/>
    <n v="1"/>
    <n v="1"/>
    <n v="0"/>
    <n v="0"/>
    <n v="1"/>
    <n v="0"/>
    <m/>
    <n v="58.7"/>
  </r>
  <r>
    <x v="1085"/>
    <d v="2025-04-12T00:00:00"/>
    <x v="1"/>
    <x v="3"/>
    <x v="1"/>
    <x v="4"/>
    <x v="1"/>
    <n v="1"/>
    <n v="1"/>
    <n v="1"/>
    <n v="0"/>
    <n v="0"/>
    <n v="0"/>
    <n v="0"/>
    <m/>
    <n v="59.3"/>
  </r>
  <r>
    <x v="1086"/>
    <d v="2025-02-02T00:00:00"/>
    <x v="1"/>
    <x v="3"/>
    <x v="1"/>
    <x v="2"/>
    <x v="1"/>
    <n v="1"/>
    <n v="0"/>
    <n v="0"/>
    <n v="0"/>
    <n v="0"/>
    <n v="0"/>
    <n v="0"/>
    <m/>
    <n v="62"/>
  </r>
  <r>
    <x v="1087"/>
    <d v="2025-04-22T00:00:00"/>
    <x v="1"/>
    <x v="0"/>
    <x v="2"/>
    <x v="3"/>
    <x v="1"/>
    <n v="1"/>
    <n v="1"/>
    <n v="1"/>
    <n v="0"/>
    <n v="0"/>
    <n v="1"/>
    <n v="0"/>
    <m/>
    <n v="60.3"/>
  </r>
  <r>
    <x v="1088"/>
    <d v="2025-02-08T00:00:00"/>
    <x v="1"/>
    <x v="0"/>
    <x v="1"/>
    <x v="4"/>
    <x v="0"/>
    <n v="1"/>
    <n v="0"/>
    <n v="0"/>
    <n v="0"/>
    <n v="0"/>
    <n v="0"/>
    <n v="0"/>
    <m/>
    <n v="70.5"/>
  </r>
  <r>
    <x v="1089"/>
    <d v="2025-01-24T00:00:00"/>
    <x v="1"/>
    <x v="3"/>
    <x v="0"/>
    <x v="0"/>
    <x v="1"/>
    <n v="1"/>
    <n v="0"/>
    <n v="0"/>
    <n v="0"/>
    <n v="0"/>
    <n v="0"/>
    <n v="0"/>
    <m/>
    <n v="36.799999999999997"/>
  </r>
  <r>
    <x v="1090"/>
    <d v="2025-05-12T00:00:00"/>
    <x v="1"/>
    <x v="3"/>
    <x v="1"/>
    <x v="2"/>
    <x v="0"/>
    <n v="0"/>
    <n v="0"/>
    <n v="0"/>
    <n v="0"/>
    <n v="0"/>
    <n v="1"/>
    <n v="0"/>
    <m/>
    <n v="73.2"/>
  </r>
  <r>
    <x v="1091"/>
    <d v="2025-03-30T00:00:00"/>
    <x v="1"/>
    <x v="0"/>
    <x v="1"/>
    <x v="1"/>
    <x v="0"/>
    <n v="0"/>
    <n v="0"/>
    <n v="0"/>
    <n v="0"/>
    <n v="0"/>
    <n v="0"/>
    <n v="0"/>
    <m/>
    <n v="70.099999999999994"/>
  </r>
  <r>
    <x v="1092"/>
    <d v="2025-01-02T00:00:00"/>
    <x v="1"/>
    <x v="3"/>
    <x v="0"/>
    <x v="2"/>
    <x v="0"/>
    <n v="1"/>
    <n v="0"/>
    <n v="0"/>
    <n v="0"/>
    <n v="0"/>
    <n v="0"/>
    <n v="0"/>
    <m/>
    <n v="76.400000000000006"/>
  </r>
  <r>
    <x v="1093"/>
    <d v="2025-03-21T00:00:00"/>
    <x v="1"/>
    <x v="3"/>
    <x v="2"/>
    <x v="0"/>
    <x v="0"/>
    <n v="0"/>
    <n v="0"/>
    <n v="0"/>
    <n v="0"/>
    <n v="0"/>
    <n v="0"/>
    <n v="0"/>
    <m/>
    <n v="46.4"/>
  </r>
  <r>
    <x v="1094"/>
    <d v="2025-01-25T00:00:00"/>
    <x v="1"/>
    <x v="1"/>
    <x v="1"/>
    <x v="1"/>
    <x v="1"/>
    <n v="1"/>
    <n v="1"/>
    <n v="1"/>
    <n v="0"/>
    <n v="0"/>
    <n v="1"/>
    <n v="0"/>
    <m/>
    <n v="81.3"/>
  </r>
  <r>
    <x v="1095"/>
    <d v="2025-01-12T00:00:00"/>
    <x v="1"/>
    <x v="3"/>
    <x v="2"/>
    <x v="4"/>
    <x v="1"/>
    <n v="1"/>
    <n v="1"/>
    <n v="1"/>
    <n v="0"/>
    <n v="0"/>
    <n v="0"/>
    <n v="0"/>
    <m/>
    <n v="55.3"/>
  </r>
  <r>
    <x v="1096"/>
    <d v="2025-03-18T00:00:00"/>
    <x v="1"/>
    <x v="2"/>
    <x v="0"/>
    <x v="3"/>
    <x v="1"/>
    <n v="1"/>
    <n v="0"/>
    <n v="0"/>
    <n v="0"/>
    <n v="0"/>
    <n v="0"/>
    <n v="0"/>
    <m/>
    <n v="44.7"/>
  </r>
  <r>
    <x v="1097"/>
    <d v="2025-03-26T00:00:00"/>
    <x v="1"/>
    <x v="2"/>
    <x v="1"/>
    <x v="2"/>
    <x v="0"/>
    <n v="1"/>
    <n v="0"/>
    <n v="0"/>
    <n v="0"/>
    <n v="0"/>
    <n v="0"/>
    <n v="0"/>
    <m/>
    <n v="67.2"/>
  </r>
  <r>
    <x v="1098"/>
    <d v="2025-04-19T00:00:00"/>
    <x v="1"/>
    <x v="0"/>
    <x v="1"/>
    <x v="2"/>
    <x v="0"/>
    <n v="1"/>
    <n v="0"/>
    <n v="0"/>
    <n v="0"/>
    <n v="0"/>
    <n v="0"/>
    <n v="0"/>
    <m/>
    <m/>
  </r>
  <r>
    <x v="1099"/>
    <d v="2025-04-17T00:00:00"/>
    <x v="1"/>
    <x v="2"/>
    <x v="1"/>
    <x v="1"/>
    <x v="2"/>
    <n v="1"/>
    <n v="1"/>
    <n v="1"/>
    <n v="0"/>
    <n v="0"/>
    <n v="1"/>
    <n v="0"/>
    <m/>
    <n v="70.8"/>
  </r>
  <r>
    <x v="1100"/>
    <d v="2025-05-26T00:00:00"/>
    <x v="1"/>
    <x v="3"/>
    <x v="1"/>
    <x v="2"/>
    <x v="1"/>
    <n v="1"/>
    <n v="0"/>
    <n v="0"/>
    <n v="0"/>
    <n v="0"/>
    <n v="0"/>
    <n v="0"/>
    <m/>
    <n v="71.3"/>
  </r>
  <r>
    <x v="1101"/>
    <d v="2025-04-14T00:00:00"/>
    <x v="1"/>
    <x v="0"/>
    <x v="1"/>
    <x v="4"/>
    <x v="2"/>
    <n v="1"/>
    <n v="1"/>
    <n v="1"/>
    <n v="0"/>
    <n v="0"/>
    <n v="0"/>
    <n v="0"/>
    <m/>
    <n v="69.400000000000006"/>
  </r>
  <r>
    <x v="1102"/>
    <d v="2025-01-23T00:00:00"/>
    <x v="1"/>
    <x v="3"/>
    <x v="1"/>
    <x v="1"/>
    <x v="0"/>
    <n v="1"/>
    <n v="1"/>
    <n v="0"/>
    <n v="0"/>
    <n v="0"/>
    <n v="0"/>
    <n v="0"/>
    <m/>
    <n v="58.9"/>
  </r>
  <r>
    <x v="1103"/>
    <d v="2025-01-06T00:00:00"/>
    <x v="1"/>
    <x v="2"/>
    <x v="1"/>
    <x v="3"/>
    <x v="1"/>
    <n v="0"/>
    <n v="0"/>
    <n v="0"/>
    <n v="0"/>
    <n v="0"/>
    <n v="0"/>
    <n v="0"/>
    <m/>
    <n v="70.7"/>
  </r>
  <r>
    <x v="1104"/>
    <d v="2025-05-31T00:00:00"/>
    <x v="1"/>
    <x v="1"/>
    <x v="1"/>
    <x v="0"/>
    <x v="0"/>
    <n v="1"/>
    <n v="0"/>
    <n v="0"/>
    <n v="0"/>
    <n v="0"/>
    <n v="0"/>
    <n v="0"/>
    <m/>
    <n v="60.5"/>
  </r>
  <r>
    <x v="1105"/>
    <d v="2025-05-19T00:00:00"/>
    <x v="1"/>
    <x v="0"/>
    <x v="1"/>
    <x v="1"/>
    <x v="0"/>
    <n v="1"/>
    <n v="1"/>
    <n v="1"/>
    <n v="0"/>
    <n v="0"/>
    <n v="0"/>
    <n v="0"/>
    <m/>
    <n v="77.3"/>
  </r>
  <r>
    <x v="1106"/>
    <d v="2025-02-25T00:00:00"/>
    <x v="1"/>
    <x v="0"/>
    <x v="1"/>
    <x v="1"/>
    <x v="1"/>
    <n v="0"/>
    <n v="0"/>
    <n v="0"/>
    <n v="0"/>
    <n v="0"/>
    <n v="1"/>
    <n v="0"/>
    <m/>
    <n v="39.5"/>
  </r>
  <r>
    <x v="1107"/>
    <d v="2025-01-10T00:00:00"/>
    <x v="1"/>
    <x v="3"/>
    <x v="2"/>
    <x v="1"/>
    <x v="0"/>
    <n v="1"/>
    <n v="0"/>
    <n v="0"/>
    <n v="0"/>
    <n v="0"/>
    <n v="0"/>
    <n v="0"/>
    <m/>
    <n v="68.099999999999994"/>
  </r>
  <r>
    <x v="1108"/>
    <d v="2025-05-13T00:00:00"/>
    <x v="1"/>
    <x v="0"/>
    <x v="2"/>
    <x v="2"/>
    <x v="1"/>
    <n v="0"/>
    <n v="0"/>
    <n v="0"/>
    <n v="0"/>
    <n v="0"/>
    <n v="0"/>
    <n v="0"/>
    <m/>
    <n v="80.3"/>
  </r>
  <r>
    <x v="1109"/>
    <d v="2025-04-27T00:00:00"/>
    <x v="1"/>
    <x v="1"/>
    <x v="0"/>
    <x v="1"/>
    <x v="2"/>
    <n v="1"/>
    <n v="0"/>
    <n v="0"/>
    <n v="0"/>
    <n v="0"/>
    <n v="0"/>
    <n v="0"/>
    <m/>
    <n v="77.7"/>
  </r>
  <r>
    <x v="1110"/>
    <d v="2025-04-03T00:00:00"/>
    <x v="1"/>
    <x v="3"/>
    <x v="1"/>
    <x v="1"/>
    <x v="1"/>
    <n v="1"/>
    <n v="0"/>
    <n v="0"/>
    <n v="0"/>
    <n v="0"/>
    <n v="1"/>
    <n v="0"/>
    <m/>
    <n v="66.2"/>
  </r>
  <r>
    <x v="1111"/>
    <d v="2025-03-26T00:00:00"/>
    <x v="1"/>
    <x v="3"/>
    <x v="1"/>
    <x v="1"/>
    <x v="1"/>
    <n v="1"/>
    <n v="1"/>
    <n v="1"/>
    <n v="0"/>
    <n v="0"/>
    <n v="1"/>
    <n v="0"/>
    <m/>
    <n v="43.9"/>
  </r>
  <r>
    <x v="1112"/>
    <d v="2025-01-31T00:00:00"/>
    <x v="1"/>
    <x v="3"/>
    <x v="1"/>
    <x v="1"/>
    <x v="0"/>
    <n v="1"/>
    <n v="1"/>
    <n v="1"/>
    <n v="0"/>
    <n v="0"/>
    <n v="2"/>
    <n v="0"/>
    <m/>
    <n v="59.1"/>
  </r>
  <r>
    <x v="1113"/>
    <d v="2025-01-25T00:00:00"/>
    <x v="1"/>
    <x v="3"/>
    <x v="1"/>
    <x v="4"/>
    <x v="1"/>
    <n v="1"/>
    <n v="1"/>
    <n v="1"/>
    <n v="1"/>
    <n v="416.94"/>
    <n v="1"/>
    <n v="0"/>
    <n v="11"/>
    <n v="67"/>
  </r>
  <r>
    <x v="1114"/>
    <d v="2025-02-06T00:00:00"/>
    <x v="1"/>
    <x v="1"/>
    <x v="1"/>
    <x v="3"/>
    <x v="0"/>
    <n v="1"/>
    <n v="0"/>
    <n v="0"/>
    <n v="0"/>
    <n v="0"/>
    <n v="0"/>
    <n v="0"/>
    <m/>
    <n v="47.9"/>
  </r>
  <r>
    <x v="1115"/>
    <d v="2025-03-10T00:00:00"/>
    <x v="1"/>
    <x v="2"/>
    <x v="1"/>
    <x v="2"/>
    <x v="1"/>
    <n v="1"/>
    <n v="1"/>
    <n v="0"/>
    <n v="0"/>
    <n v="0"/>
    <n v="0"/>
    <n v="0"/>
    <m/>
    <n v="41.5"/>
  </r>
  <r>
    <x v="1116"/>
    <d v="2025-01-26T00:00:00"/>
    <x v="1"/>
    <x v="1"/>
    <x v="1"/>
    <x v="1"/>
    <x v="0"/>
    <n v="1"/>
    <n v="1"/>
    <n v="1"/>
    <n v="0"/>
    <n v="0"/>
    <n v="3"/>
    <n v="0"/>
    <m/>
    <n v="30.6"/>
  </r>
  <r>
    <x v="1117"/>
    <d v="2025-01-01T00:00:00"/>
    <x v="1"/>
    <x v="2"/>
    <x v="1"/>
    <x v="2"/>
    <x v="1"/>
    <n v="1"/>
    <n v="1"/>
    <n v="0"/>
    <n v="0"/>
    <n v="0"/>
    <n v="0"/>
    <n v="0"/>
    <m/>
    <n v="91.5"/>
  </r>
  <r>
    <x v="1118"/>
    <d v="2025-04-28T00:00:00"/>
    <x v="1"/>
    <x v="0"/>
    <x v="0"/>
    <x v="4"/>
    <x v="0"/>
    <n v="1"/>
    <n v="0"/>
    <n v="0"/>
    <n v="0"/>
    <n v="0"/>
    <n v="0"/>
    <n v="0"/>
    <m/>
    <n v="80.8"/>
  </r>
  <r>
    <x v="1119"/>
    <d v="2025-04-04T00:00:00"/>
    <x v="1"/>
    <x v="0"/>
    <x v="1"/>
    <x v="1"/>
    <x v="2"/>
    <n v="1"/>
    <n v="0"/>
    <n v="0"/>
    <n v="0"/>
    <n v="0"/>
    <n v="0"/>
    <n v="0"/>
    <m/>
    <n v="68.099999999999994"/>
  </r>
  <r>
    <x v="1120"/>
    <d v="2025-03-02T00:00:00"/>
    <x v="1"/>
    <x v="2"/>
    <x v="1"/>
    <x v="2"/>
    <x v="1"/>
    <n v="1"/>
    <n v="0"/>
    <n v="0"/>
    <n v="0"/>
    <n v="0"/>
    <n v="0"/>
    <n v="0"/>
    <m/>
    <n v="80.3"/>
  </r>
  <r>
    <x v="1121"/>
    <d v="2025-03-19T00:00:00"/>
    <x v="1"/>
    <x v="3"/>
    <x v="2"/>
    <x v="1"/>
    <x v="0"/>
    <n v="1"/>
    <n v="0"/>
    <n v="0"/>
    <n v="0"/>
    <n v="0"/>
    <n v="0"/>
    <n v="0"/>
    <m/>
    <n v="44.4"/>
  </r>
  <r>
    <x v="1122"/>
    <d v="2025-01-20T00:00:00"/>
    <x v="1"/>
    <x v="3"/>
    <x v="0"/>
    <x v="1"/>
    <x v="0"/>
    <n v="0"/>
    <n v="0"/>
    <n v="0"/>
    <n v="0"/>
    <n v="0"/>
    <n v="0"/>
    <n v="0"/>
    <m/>
    <n v="51.9"/>
  </r>
  <r>
    <x v="1123"/>
    <d v="2025-04-03T00:00:00"/>
    <x v="1"/>
    <x v="2"/>
    <x v="1"/>
    <x v="2"/>
    <x v="1"/>
    <n v="1"/>
    <n v="1"/>
    <n v="0"/>
    <n v="0"/>
    <n v="0"/>
    <n v="0"/>
    <n v="0"/>
    <m/>
    <n v="49.8"/>
  </r>
  <r>
    <x v="1124"/>
    <d v="2025-01-11T00:00:00"/>
    <x v="1"/>
    <x v="2"/>
    <x v="0"/>
    <x v="4"/>
    <x v="1"/>
    <n v="1"/>
    <n v="1"/>
    <n v="1"/>
    <n v="0"/>
    <n v="0"/>
    <n v="3"/>
    <n v="0"/>
    <m/>
    <n v="62.1"/>
  </r>
  <r>
    <x v="1125"/>
    <d v="2025-02-02T00:00:00"/>
    <x v="1"/>
    <x v="1"/>
    <x v="0"/>
    <x v="4"/>
    <x v="0"/>
    <n v="1"/>
    <n v="0"/>
    <n v="0"/>
    <n v="0"/>
    <n v="0"/>
    <n v="0"/>
    <n v="0"/>
    <m/>
    <n v="91.3"/>
  </r>
  <r>
    <x v="1126"/>
    <d v="2025-04-01T00:00:00"/>
    <x v="1"/>
    <x v="3"/>
    <x v="1"/>
    <x v="1"/>
    <x v="0"/>
    <n v="1"/>
    <n v="0"/>
    <n v="0"/>
    <n v="0"/>
    <n v="0"/>
    <n v="0"/>
    <n v="0"/>
    <m/>
    <n v="66.400000000000006"/>
  </r>
  <r>
    <x v="1127"/>
    <d v="2025-05-22T00:00:00"/>
    <x v="1"/>
    <x v="2"/>
    <x v="1"/>
    <x v="1"/>
    <x v="0"/>
    <n v="1"/>
    <n v="0"/>
    <n v="0"/>
    <n v="0"/>
    <n v="0"/>
    <n v="0"/>
    <n v="0"/>
    <m/>
    <n v="41.5"/>
  </r>
  <r>
    <x v="1128"/>
    <d v="2025-02-20T00:00:00"/>
    <x v="1"/>
    <x v="1"/>
    <x v="1"/>
    <x v="1"/>
    <x v="0"/>
    <n v="0"/>
    <n v="0"/>
    <n v="0"/>
    <n v="0"/>
    <n v="0"/>
    <n v="0"/>
    <n v="0"/>
    <m/>
    <n v="77.099999999999994"/>
  </r>
  <r>
    <x v="1129"/>
    <d v="2025-03-21T00:00:00"/>
    <x v="1"/>
    <x v="1"/>
    <x v="1"/>
    <x v="1"/>
    <x v="1"/>
    <n v="1"/>
    <n v="0"/>
    <n v="0"/>
    <n v="0"/>
    <n v="0"/>
    <n v="0"/>
    <n v="0"/>
    <m/>
    <n v="63.2"/>
  </r>
  <r>
    <x v="1130"/>
    <d v="2025-05-01T00:00:00"/>
    <x v="1"/>
    <x v="1"/>
    <x v="0"/>
    <x v="3"/>
    <x v="1"/>
    <n v="1"/>
    <n v="1"/>
    <n v="1"/>
    <n v="0"/>
    <n v="0"/>
    <n v="3"/>
    <n v="0"/>
    <m/>
    <n v="75.7"/>
  </r>
  <r>
    <x v="1131"/>
    <d v="2025-01-06T00:00:00"/>
    <x v="1"/>
    <x v="1"/>
    <x v="1"/>
    <x v="2"/>
    <x v="0"/>
    <n v="0"/>
    <n v="0"/>
    <n v="0"/>
    <n v="0"/>
    <n v="0"/>
    <n v="0"/>
    <n v="0"/>
    <m/>
    <n v="62.9"/>
  </r>
  <r>
    <x v="1132"/>
    <d v="2025-04-12T00:00:00"/>
    <x v="1"/>
    <x v="0"/>
    <x v="0"/>
    <x v="2"/>
    <x v="2"/>
    <n v="1"/>
    <n v="0"/>
    <n v="0"/>
    <n v="0"/>
    <n v="0"/>
    <n v="3"/>
    <n v="0"/>
    <m/>
    <n v="64.599999999999994"/>
  </r>
  <r>
    <x v="1133"/>
    <d v="2025-04-18T00:00:00"/>
    <x v="1"/>
    <x v="0"/>
    <x v="1"/>
    <x v="5"/>
    <x v="0"/>
    <n v="1"/>
    <n v="0"/>
    <n v="0"/>
    <n v="0"/>
    <n v="0"/>
    <n v="0"/>
    <n v="0"/>
    <m/>
    <n v="76.599999999999994"/>
  </r>
  <r>
    <x v="1134"/>
    <d v="2025-03-24T00:00:00"/>
    <x v="1"/>
    <x v="2"/>
    <x v="1"/>
    <x v="4"/>
    <x v="0"/>
    <n v="1"/>
    <n v="0"/>
    <n v="0"/>
    <n v="0"/>
    <n v="0"/>
    <n v="0"/>
    <n v="0"/>
    <m/>
    <n v="74.8"/>
  </r>
  <r>
    <x v="1135"/>
    <d v="2025-03-18T00:00:00"/>
    <x v="1"/>
    <x v="2"/>
    <x v="0"/>
    <x v="0"/>
    <x v="2"/>
    <n v="1"/>
    <n v="0"/>
    <n v="0"/>
    <n v="0"/>
    <n v="0"/>
    <n v="2"/>
    <n v="0"/>
    <m/>
    <n v="38.1"/>
  </r>
  <r>
    <x v="1136"/>
    <d v="2025-04-30T00:00:00"/>
    <x v="1"/>
    <x v="3"/>
    <x v="2"/>
    <x v="2"/>
    <x v="0"/>
    <n v="1"/>
    <n v="1"/>
    <n v="0"/>
    <n v="0"/>
    <n v="0"/>
    <n v="0"/>
    <n v="0"/>
    <m/>
    <n v="60.2"/>
  </r>
  <r>
    <x v="1137"/>
    <d v="2025-01-25T00:00:00"/>
    <x v="1"/>
    <x v="1"/>
    <x v="1"/>
    <x v="0"/>
    <x v="1"/>
    <n v="1"/>
    <n v="1"/>
    <n v="0"/>
    <n v="0"/>
    <n v="0"/>
    <n v="0"/>
    <n v="0"/>
    <m/>
    <n v="73.5"/>
  </r>
  <r>
    <x v="1138"/>
    <d v="2025-04-10T00:00:00"/>
    <x v="1"/>
    <x v="3"/>
    <x v="1"/>
    <x v="1"/>
    <x v="1"/>
    <n v="1"/>
    <n v="0"/>
    <n v="0"/>
    <n v="0"/>
    <n v="0"/>
    <n v="0"/>
    <n v="0"/>
    <m/>
    <n v="70.900000000000006"/>
  </r>
  <r>
    <x v="1139"/>
    <d v="2025-01-10T00:00:00"/>
    <x v="1"/>
    <x v="1"/>
    <x v="1"/>
    <x v="4"/>
    <x v="1"/>
    <n v="1"/>
    <n v="0"/>
    <n v="0"/>
    <n v="0"/>
    <n v="0"/>
    <n v="0"/>
    <n v="0"/>
    <m/>
    <n v="63.7"/>
  </r>
  <r>
    <x v="1140"/>
    <d v="2025-02-11T00:00:00"/>
    <x v="1"/>
    <x v="3"/>
    <x v="1"/>
    <x v="2"/>
    <x v="1"/>
    <n v="1"/>
    <n v="0"/>
    <n v="0"/>
    <n v="0"/>
    <n v="0"/>
    <n v="0"/>
    <n v="0"/>
    <m/>
    <n v="86.5"/>
  </r>
  <r>
    <x v="1141"/>
    <d v="2025-05-01T00:00:00"/>
    <x v="1"/>
    <x v="2"/>
    <x v="1"/>
    <x v="4"/>
    <x v="0"/>
    <n v="1"/>
    <n v="1"/>
    <n v="1"/>
    <n v="1"/>
    <n v="921.72"/>
    <n v="3"/>
    <n v="0"/>
    <n v="7"/>
    <n v="74.599999999999994"/>
  </r>
  <r>
    <x v="1142"/>
    <d v="2025-01-18T00:00:00"/>
    <x v="1"/>
    <x v="2"/>
    <x v="1"/>
    <x v="1"/>
    <x v="1"/>
    <n v="1"/>
    <n v="0"/>
    <n v="0"/>
    <n v="0"/>
    <n v="0"/>
    <n v="0"/>
    <n v="0"/>
    <m/>
    <n v="46.6"/>
  </r>
  <r>
    <x v="1143"/>
    <d v="2025-01-02T00:00:00"/>
    <x v="1"/>
    <x v="0"/>
    <x v="1"/>
    <x v="2"/>
    <x v="1"/>
    <n v="0"/>
    <n v="0"/>
    <n v="0"/>
    <n v="0"/>
    <n v="0"/>
    <n v="0"/>
    <n v="0"/>
    <m/>
    <n v="61.2"/>
  </r>
  <r>
    <x v="1144"/>
    <d v="2025-05-11T00:00:00"/>
    <x v="1"/>
    <x v="1"/>
    <x v="1"/>
    <x v="1"/>
    <x v="1"/>
    <n v="1"/>
    <n v="1"/>
    <n v="1"/>
    <n v="1"/>
    <n v="290.39"/>
    <n v="0"/>
    <n v="0"/>
    <n v="4"/>
    <n v="54.4"/>
  </r>
  <r>
    <x v="1145"/>
    <d v="2025-03-22T00:00:00"/>
    <x v="1"/>
    <x v="0"/>
    <x v="1"/>
    <x v="3"/>
    <x v="1"/>
    <n v="1"/>
    <n v="1"/>
    <n v="1"/>
    <n v="0"/>
    <n v="0"/>
    <n v="0"/>
    <n v="0"/>
    <m/>
    <n v="72"/>
  </r>
  <r>
    <x v="1146"/>
    <d v="2025-05-02T00:00:00"/>
    <x v="1"/>
    <x v="3"/>
    <x v="1"/>
    <x v="4"/>
    <x v="2"/>
    <n v="1"/>
    <n v="1"/>
    <n v="1"/>
    <n v="1"/>
    <n v="1858.85"/>
    <n v="0"/>
    <n v="0"/>
    <n v="8"/>
    <n v="88.6"/>
  </r>
  <r>
    <x v="1147"/>
    <d v="2025-05-26T00:00:00"/>
    <x v="1"/>
    <x v="2"/>
    <x v="0"/>
    <x v="5"/>
    <x v="0"/>
    <n v="1"/>
    <n v="0"/>
    <n v="0"/>
    <n v="0"/>
    <n v="0"/>
    <n v="0"/>
    <n v="0"/>
    <m/>
    <n v="77.599999999999994"/>
  </r>
  <r>
    <x v="1148"/>
    <d v="2025-03-13T00:00:00"/>
    <x v="1"/>
    <x v="3"/>
    <x v="1"/>
    <x v="1"/>
    <x v="0"/>
    <n v="1"/>
    <n v="0"/>
    <n v="0"/>
    <n v="0"/>
    <n v="0"/>
    <n v="1"/>
    <n v="0"/>
    <m/>
    <n v="44.3"/>
  </r>
  <r>
    <x v="1149"/>
    <d v="2025-05-17T00:00:00"/>
    <x v="1"/>
    <x v="3"/>
    <x v="0"/>
    <x v="2"/>
    <x v="1"/>
    <n v="1"/>
    <n v="1"/>
    <n v="0"/>
    <n v="0"/>
    <n v="0"/>
    <n v="0"/>
    <n v="0"/>
    <m/>
    <n v="49"/>
  </r>
  <r>
    <x v="1150"/>
    <d v="2025-03-13T00:00:00"/>
    <x v="1"/>
    <x v="0"/>
    <x v="0"/>
    <x v="3"/>
    <x v="2"/>
    <n v="1"/>
    <n v="0"/>
    <n v="0"/>
    <n v="0"/>
    <n v="0"/>
    <n v="0"/>
    <n v="0"/>
    <m/>
    <n v="53.9"/>
  </r>
  <r>
    <x v="1151"/>
    <d v="2025-02-11T00:00:00"/>
    <x v="1"/>
    <x v="2"/>
    <x v="0"/>
    <x v="1"/>
    <x v="0"/>
    <n v="1"/>
    <n v="0"/>
    <n v="0"/>
    <n v="0"/>
    <n v="0"/>
    <n v="1"/>
    <n v="0"/>
    <m/>
    <n v="69"/>
  </r>
  <r>
    <x v="1152"/>
    <d v="2025-03-01T00:00:00"/>
    <x v="1"/>
    <x v="1"/>
    <x v="1"/>
    <x v="4"/>
    <x v="1"/>
    <n v="0"/>
    <n v="0"/>
    <n v="0"/>
    <n v="0"/>
    <n v="0"/>
    <n v="0"/>
    <n v="0"/>
    <m/>
    <n v="37.4"/>
  </r>
  <r>
    <x v="1153"/>
    <d v="2025-04-15T00:00:00"/>
    <x v="1"/>
    <x v="1"/>
    <x v="1"/>
    <x v="1"/>
    <x v="0"/>
    <n v="0"/>
    <n v="0"/>
    <n v="0"/>
    <n v="0"/>
    <n v="0"/>
    <n v="0"/>
    <n v="0"/>
    <m/>
    <n v="59"/>
  </r>
  <r>
    <x v="1154"/>
    <d v="2025-02-02T00:00:00"/>
    <x v="1"/>
    <x v="2"/>
    <x v="1"/>
    <x v="1"/>
    <x v="2"/>
    <n v="1"/>
    <n v="0"/>
    <n v="0"/>
    <n v="0"/>
    <n v="0"/>
    <n v="0"/>
    <n v="0"/>
    <m/>
    <n v="60.8"/>
  </r>
  <r>
    <x v="1155"/>
    <d v="2025-05-19T00:00:00"/>
    <x v="1"/>
    <x v="3"/>
    <x v="1"/>
    <x v="0"/>
    <x v="1"/>
    <n v="1"/>
    <n v="0"/>
    <n v="0"/>
    <n v="0"/>
    <n v="0"/>
    <n v="0"/>
    <n v="0"/>
    <m/>
    <n v="57.5"/>
  </r>
  <r>
    <x v="1156"/>
    <d v="2025-01-05T00:00:00"/>
    <x v="1"/>
    <x v="1"/>
    <x v="1"/>
    <x v="3"/>
    <x v="1"/>
    <n v="0"/>
    <n v="0"/>
    <n v="0"/>
    <n v="0"/>
    <n v="0"/>
    <n v="0"/>
    <n v="0"/>
    <m/>
    <n v="84.2"/>
  </r>
  <r>
    <x v="1157"/>
    <d v="2025-03-08T00:00:00"/>
    <x v="1"/>
    <x v="3"/>
    <x v="1"/>
    <x v="2"/>
    <x v="1"/>
    <n v="1"/>
    <n v="1"/>
    <n v="0"/>
    <n v="0"/>
    <n v="0"/>
    <n v="0"/>
    <n v="0"/>
    <m/>
    <n v="27.4"/>
  </r>
  <r>
    <x v="1158"/>
    <d v="2025-03-12T00:00:00"/>
    <x v="1"/>
    <x v="1"/>
    <x v="1"/>
    <x v="0"/>
    <x v="0"/>
    <n v="1"/>
    <n v="0"/>
    <n v="0"/>
    <n v="0"/>
    <n v="0"/>
    <n v="1"/>
    <n v="0"/>
    <m/>
    <n v="67.599999999999994"/>
  </r>
  <r>
    <x v="1159"/>
    <d v="2025-01-24T00:00:00"/>
    <x v="1"/>
    <x v="1"/>
    <x v="1"/>
    <x v="1"/>
    <x v="1"/>
    <n v="0"/>
    <n v="0"/>
    <n v="0"/>
    <n v="0"/>
    <n v="0"/>
    <n v="0"/>
    <n v="0"/>
    <m/>
    <n v="68.400000000000006"/>
  </r>
  <r>
    <x v="1160"/>
    <d v="2025-05-22T00:00:00"/>
    <x v="1"/>
    <x v="3"/>
    <x v="1"/>
    <x v="2"/>
    <x v="0"/>
    <n v="1"/>
    <n v="1"/>
    <n v="1"/>
    <n v="0"/>
    <n v="0"/>
    <n v="0"/>
    <n v="0"/>
    <m/>
    <n v="66.5"/>
  </r>
  <r>
    <x v="1161"/>
    <d v="2025-03-27T00:00:00"/>
    <x v="1"/>
    <x v="3"/>
    <x v="1"/>
    <x v="2"/>
    <x v="1"/>
    <n v="1"/>
    <n v="0"/>
    <n v="0"/>
    <n v="0"/>
    <n v="0"/>
    <n v="0"/>
    <n v="0"/>
    <m/>
    <n v="38.200000000000003"/>
  </r>
  <r>
    <x v="1162"/>
    <d v="2025-01-02T00:00:00"/>
    <x v="1"/>
    <x v="1"/>
    <x v="1"/>
    <x v="4"/>
    <x v="1"/>
    <n v="0"/>
    <n v="0"/>
    <n v="0"/>
    <n v="0"/>
    <n v="0"/>
    <n v="1"/>
    <n v="0"/>
    <m/>
    <n v="66.7"/>
  </r>
  <r>
    <x v="1163"/>
    <d v="2025-02-24T00:00:00"/>
    <x v="1"/>
    <x v="0"/>
    <x v="1"/>
    <x v="2"/>
    <x v="1"/>
    <n v="0"/>
    <n v="0"/>
    <n v="0"/>
    <n v="0"/>
    <n v="0"/>
    <n v="1"/>
    <n v="0"/>
    <m/>
    <n v="73.7"/>
  </r>
  <r>
    <x v="1164"/>
    <d v="2025-03-01T00:00:00"/>
    <x v="1"/>
    <x v="1"/>
    <x v="0"/>
    <x v="1"/>
    <x v="0"/>
    <n v="1"/>
    <n v="1"/>
    <n v="1"/>
    <n v="0"/>
    <n v="0"/>
    <n v="0"/>
    <n v="0"/>
    <m/>
    <n v="63.9"/>
  </r>
  <r>
    <x v="1165"/>
    <d v="2025-03-26T00:00:00"/>
    <x v="1"/>
    <x v="3"/>
    <x v="2"/>
    <x v="1"/>
    <x v="0"/>
    <n v="1"/>
    <n v="0"/>
    <n v="0"/>
    <n v="0"/>
    <n v="0"/>
    <n v="1"/>
    <n v="0"/>
    <m/>
    <n v="82.6"/>
  </r>
  <r>
    <x v="1166"/>
    <d v="2025-05-25T00:00:00"/>
    <x v="1"/>
    <x v="2"/>
    <x v="1"/>
    <x v="2"/>
    <x v="1"/>
    <n v="0"/>
    <n v="0"/>
    <n v="0"/>
    <n v="0"/>
    <n v="0"/>
    <n v="1"/>
    <n v="0"/>
    <m/>
    <n v="58.3"/>
  </r>
  <r>
    <x v="1167"/>
    <d v="2025-02-25T00:00:00"/>
    <x v="1"/>
    <x v="1"/>
    <x v="1"/>
    <x v="3"/>
    <x v="2"/>
    <n v="1"/>
    <n v="1"/>
    <n v="1"/>
    <n v="1"/>
    <n v="1547.06"/>
    <n v="0"/>
    <n v="1"/>
    <n v="2"/>
    <n v="72.900000000000006"/>
  </r>
  <r>
    <x v="1168"/>
    <d v="2025-03-23T00:00:00"/>
    <x v="1"/>
    <x v="3"/>
    <x v="1"/>
    <x v="4"/>
    <x v="1"/>
    <n v="1"/>
    <n v="1"/>
    <n v="1"/>
    <n v="0"/>
    <n v="0"/>
    <n v="2"/>
    <n v="0"/>
    <m/>
    <n v="53.5"/>
  </r>
  <r>
    <x v="1169"/>
    <d v="2025-04-21T00:00:00"/>
    <x v="1"/>
    <x v="1"/>
    <x v="1"/>
    <x v="3"/>
    <x v="1"/>
    <n v="1"/>
    <n v="0"/>
    <n v="0"/>
    <n v="0"/>
    <n v="0"/>
    <n v="0"/>
    <n v="0"/>
    <m/>
    <n v="54.8"/>
  </r>
  <r>
    <x v="1170"/>
    <d v="2025-05-21T00:00:00"/>
    <x v="1"/>
    <x v="0"/>
    <x v="1"/>
    <x v="1"/>
    <x v="2"/>
    <n v="1"/>
    <n v="0"/>
    <n v="0"/>
    <n v="0"/>
    <n v="0"/>
    <n v="0"/>
    <n v="0"/>
    <m/>
    <n v="69.5"/>
  </r>
  <r>
    <x v="1171"/>
    <d v="2025-04-25T00:00:00"/>
    <x v="1"/>
    <x v="0"/>
    <x v="0"/>
    <x v="4"/>
    <x v="1"/>
    <n v="1"/>
    <n v="0"/>
    <n v="0"/>
    <n v="0"/>
    <n v="0"/>
    <n v="1"/>
    <n v="0"/>
    <m/>
    <n v="71.3"/>
  </r>
  <r>
    <x v="1172"/>
    <d v="2025-05-23T00:00:00"/>
    <x v="1"/>
    <x v="1"/>
    <x v="1"/>
    <x v="3"/>
    <x v="0"/>
    <n v="1"/>
    <n v="0"/>
    <n v="0"/>
    <n v="0"/>
    <n v="0"/>
    <n v="1"/>
    <n v="0"/>
    <m/>
    <n v="57.5"/>
  </r>
  <r>
    <x v="1173"/>
    <d v="2025-03-18T00:00:00"/>
    <x v="1"/>
    <x v="3"/>
    <x v="1"/>
    <x v="0"/>
    <x v="1"/>
    <n v="1"/>
    <n v="0"/>
    <n v="0"/>
    <n v="0"/>
    <n v="0"/>
    <n v="4"/>
    <n v="0"/>
    <m/>
    <n v="50.9"/>
  </r>
  <r>
    <x v="1174"/>
    <d v="2025-01-03T00:00:00"/>
    <x v="1"/>
    <x v="3"/>
    <x v="2"/>
    <x v="1"/>
    <x v="1"/>
    <n v="1"/>
    <n v="1"/>
    <n v="1"/>
    <n v="0"/>
    <n v="0"/>
    <n v="0"/>
    <n v="0"/>
    <m/>
    <n v="69.3"/>
  </r>
  <r>
    <x v="1175"/>
    <d v="2025-02-08T00:00:00"/>
    <x v="1"/>
    <x v="1"/>
    <x v="0"/>
    <x v="1"/>
    <x v="1"/>
    <n v="1"/>
    <n v="0"/>
    <n v="0"/>
    <n v="0"/>
    <n v="0"/>
    <n v="0"/>
    <n v="0"/>
    <m/>
    <n v="50.1"/>
  </r>
  <r>
    <x v="1176"/>
    <d v="2025-02-04T00:00:00"/>
    <x v="1"/>
    <x v="2"/>
    <x v="3"/>
    <x v="2"/>
    <x v="0"/>
    <n v="0"/>
    <n v="0"/>
    <n v="0"/>
    <n v="0"/>
    <n v="0"/>
    <n v="0"/>
    <n v="0"/>
    <m/>
    <n v="69.7"/>
  </r>
  <r>
    <x v="1177"/>
    <d v="2025-01-16T00:00:00"/>
    <x v="1"/>
    <x v="0"/>
    <x v="1"/>
    <x v="2"/>
    <x v="1"/>
    <n v="0"/>
    <n v="0"/>
    <n v="0"/>
    <n v="0"/>
    <n v="0"/>
    <n v="0"/>
    <n v="0"/>
    <m/>
    <n v="63.5"/>
  </r>
  <r>
    <x v="1178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</r>
  <r>
    <x v="1179"/>
    <d v="2025-01-23T00:00:00"/>
    <x v="1"/>
    <x v="0"/>
    <x v="0"/>
    <x v="2"/>
    <x v="1"/>
    <n v="0"/>
    <n v="0"/>
    <n v="0"/>
    <n v="0"/>
    <n v="0"/>
    <n v="0"/>
    <n v="0"/>
    <m/>
    <n v="58.9"/>
  </r>
  <r>
    <x v="1180"/>
    <d v="2025-03-22T00:00:00"/>
    <x v="1"/>
    <x v="3"/>
    <x v="0"/>
    <x v="2"/>
    <x v="1"/>
    <n v="1"/>
    <n v="0"/>
    <n v="0"/>
    <n v="0"/>
    <n v="0"/>
    <n v="0"/>
    <n v="0"/>
    <m/>
    <n v="56.8"/>
  </r>
  <r>
    <x v="1181"/>
    <d v="2025-02-02T00:00:00"/>
    <x v="1"/>
    <x v="2"/>
    <x v="2"/>
    <x v="4"/>
    <x v="2"/>
    <n v="0"/>
    <n v="0"/>
    <n v="0"/>
    <n v="0"/>
    <n v="0"/>
    <n v="0"/>
    <n v="0"/>
    <m/>
    <n v="73.900000000000006"/>
  </r>
  <r>
    <x v="1182"/>
    <d v="2025-01-31T00:00:00"/>
    <x v="1"/>
    <x v="0"/>
    <x v="0"/>
    <x v="2"/>
    <x v="1"/>
    <n v="0"/>
    <n v="0"/>
    <n v="0"/>
    <n v="0"/>
    <n v="0"/>
    <n v="0"/>
    <n v="0"/>
    <m/>
    <n v="76.3"/>
  </r>
  <r>
    <x v="1183"/>
    <d v="2025-05-27T00:00:00"/>
    <x v="1"/>
    <x v="1"/>
    <x v="1"/>
    <x v="1"/>
    <x v="0"/>
    <n v="1"/>
    <n v="0"/>
    <n v="0"/>
    <n v="0"/>
    <n v="0"/>
    <n v="0"/>
    <n v="0"/>
    <m/>
    <n v="56.9"/>
  </r>
  <r>
    <x v="1184"/>
    <d v="2025-05-07T00:00:00"/>
    <x v="1"/>
    <x v="0"/>
    <x v="1"/>
    <x v="1"/>
    <x v="2"/>
    <n v="1"/>
    <n v="0"/>
    <n v="0"/>
    <n v="0"/>
    <n v="0"/>
    <n v="2"/>
    <n v="0"/>
    <m/>
    <n v="49.4"/>
  </r>
  <r>
    <x v="1185"/>
    <d v="2025-05-08T00:00:00"/>
    <x v="1"/>
    <x v="0"/>
    <x v="0"/>
    <x v="2"/>
    <x v="0"/>
    <n v="1"/>
    <n v="0"/>
    <n v="0"/>
    <n v="0"/>
    <n v="0"/>
    <n v="0"/>
    <n v="0"/>
    <m/>
    <n v="86.7"/>
  </r>
  <r>
    <x v="1186"/>
    <d v="2025-01-15T00:00:00"/>
    <x v="1"/>
    <x v="1"/>
    <x v="0"/>
    <x v="0"/>
    <x v="1"/>
    <n v="1"/>
    <n v="0"/>
    <n v="0"/>
    <n v="0"/>
    <n v="0"/>
    <n v="3"/>
    <n v="0"/>
    <m/>
    <n v="69"/>
  </r>
  <r>
    <x v="1187"/>
    <d v="2025-01-18T00:00:00"/>
    <x v="1"/>
    <x v="0"/>
    <x v="1"/>
    <x v="2"/>
    <x v="1"/>
    <n v="0"/>
    <n v="0"/>
    <n v="0"/>
    <n v="0"/>
    <n v="0"/>
    <n v="0"/>
    <n v="0"/>
    <m/>
    <n v="84.5"/>
  </r>
  <r>
    <x v="1188"/>
    <d v="2025-04-16T00:00:00"/>
    <x v="1"/>
    <x v="2"/>
    <x v="3"/>
    <x v="3"/>
    <x v="1"/>
    <n v="1"/>
    <n v="0"/>
    <n v="0"/>
    <n v="0"/>
    <n v="0"/>
    <n v="0"/>
    <n v="0"/>
    <m/>
    <n v="66.3"/>
  </r>
  <r>
    <x v="1189"/>
    <d v="2025-02-16T00:00:00"/>
    <x v="1"/>
    <x v="2"/>
    <x v="0"/>
    <x v="2"/>
    <x v="1"/>
    <n v="0"/>
    <n v="0"/>
    <n v="0"/>
    <n v="0"/>
    <n v="0"/>
    <n v="0"/>
    <n v="0"/>
    <m/>
    <n v="52.2"/>
  </r>
  <r>
    <x v="1190"/>
    <d v="2025-04-17T00:00:00"/>
    <x v="1"/>
    <x v="3"/>
    <x v="0"/>
    <x v="3"/>
    <x v="2"/>
    <n v="1"/>
    <n v="1"/>
    <n v="1"/>
    <n v="0"/>
    <n v="0"/>
    <n v="0"/>
    <n v="0"/>
    <m/>
    <n v="81.2"/>
  </r>
  <r>
    <x v="1191"/>
    <d v="2025-04-30T00:00:00"/>
    <x v="1"/>
    <x v="3"/>
    <x v="1"/>
    <x v="1"/>
    <x v="0"/>
    <n v="0"/>
    <n v="0"/>
    <n v="0"/>
    <n v="0"/>
    <n v="0"/>
    <n v="0"/>
    <n v="0"/>
    <m/>
    <n v="53.9"/>
  </r>
  <r>
    <x v="1192"/>
    <d v="2025-01-29T00:00:00"/>
    <x v="1"/>
    <x v="1"/>
    <x v="1"/>
    <x v="4"/>
    <x v="2"/>
    <n v="0"/>
    <n v="0"/>
    <n v="0"/>
    <n v="0"/>
    <n v="0"/>
    <n v="0"/>
    <n v="0"/>
    <m/>
    <n v="39.1"/>
  </r>
  <r>
    <x v="1193"/>
    <d v="2025-01-11T00:00:00"/>
    <x v="1"/>
    <x v="0"/>
    <x v="1"/>
    <x v="4"/>
    <x v="0"/>
    <n v="0"/>
    <n v="0"/>
    <n v="0"/>
    <n v="0"/>
    <n v="0"/>
    <n v="0"/>
    <n v="0"/>
    <m/>
    <n v="57.3"/>
  </r>
  <r>
    <x v="1194"/>
    <d v="2025-04-08T00:00:00"/>
    <x v="1"/>
    <x v="2"/>
    <x v="0"/>
    <x v="2"/>
    <x v="2"/>
    <n v="1"/>
    <n v="0"/>
    <n v="0"/>
    <n v="0"/>
    <n v="0"/>
    <n v="1"/>
    <n v="0"/>
    <m/>
    <n v="65.900000000000006"/>
  </r>
  <r>
    <x v="1195"/>
    <d v="2025-02-22T00:00:00"/>
    <x v="1"/>
    <x v="0"/>
    <x v="3"/>
    <x v="4"/>
    <x v="1"/>
    <n v="1"/>
    <n v="0"/>
    <n v="0"/>
    <n v="0"/>
    <n v="0"/>
    <n v="1"/>
    <n v="0"/>
    <m/>
    <n v="34.200000000000003"/>
  </r>
  <r>
    <x v="1196"/>
    <d v="2025-03-23T00:00:00"/>
    <x v="1"/>
    <x v="3"/>
    <x v="1"/>
    <x v="1"/>
    <x v="1"/>
    <n v="0"/>
    <n v="0"/>
    <n v="0"/>
    <n v="0"/>
    <n v="0"/>
    <n v="0"/>
    <n v="0"/>
    <m/>
    <n v="47.2"/>
  </r>
  <r>
    <x v="1197"/>
    <d v="2025-05-23T00:00:00"/>
    <x v="1"/>
    <x v="3"/>
    <x v="2"/>
    <x v="2"/>
    <x v="1"/>
    <n v="1"/>
    <n v="0"/>
    <n v="0"/>
    <n v="0"/>
    <n v="0"/>
    <n v="1"/>
    <n v="0"/>
    <m/>
    <n v="55"/>
  </r>
  <r>
    <x v="1198"/>
    <d v="2025-04-27T00:00:00"/>
    <x v="1"/>
    <x v="1"/>
    <x v="1"/>
    <x v="3"/>
    <x v="0"/>
    <n v="1"/>
    <n v="1"/>
    <n v="1"/>
    <n v="0"/>
    <n v="0"/>
    <n v="0"/>
    <n v="0"/>
    <m/>
    <n v="76.400000000000006"/>
  </r>
  <r>
    <x v="1199"/>
    <d v="2025-05-26T00:00:00"/>
    <x v="1"/>
    <x v="0"/>
    <x v="1"/>
    <x v="3"/>
    <x v="1"/>
    <n v="1"/>
    <n v="0"/>
    <n v="0"/>
    <n v="0"/>
    <n v="0"/>
    <n v="0"/>
    <n v="0"/>
    <m/>
    <n v="70.8"/>
  </r>
  <r>
    <x v="1200"/>
    <d v="2025-03-06T00:00:00"/>
    <x v="1"/>
    <x v="2"/>
    <x v="1"/>
    <x v="2"/>
    <x v="0"/>
    <n v="1"/>
    <n v="1"/>
    <n v="0"/>
    <n v="0"/>
    <n v="0"/>
    <n v="1"/>
    <n v="0"/>
    <m/>
    <n v="58"/>
  </r>
  <r>
    <x v="1201"/>
    <d v="2025-04-03T00:00:00"/>
    <x v="1"/>
    <x v="1"/>
    <x v="1"/>
    <x v="1"/>
    <x v="0"/>
    <n v="1"/>
    <n v="1"/>
    <n v="1"/>
    <n v="0"/>
    <n v="0"/>
    <n v="1"/>
    <n v="0"/>
    <m/>
    <n v="70.8"/>
  </r>
  <r>
    <x v="1202"/>
    <d v="2025-02-01T00:00:00"/>
    <x v="1"/>
    <x v="2"/>
    <x v="0"/>
    <x v="2"/>
    <x v="1"/>
    <n v="1"/>
    <n v="0"/>
    <n v="0"/>
    <n v="0"/>
    <n v="0"/>
    <n v="3"/>
    <n v="0"/>
    <m/>
    <n v="60"/>
  </r>
  <r>
    <x v="1203"/>
    <d v="2025-05-01T00:00:00"/>
    <x v="1"/>
    <x v="1"/>
    <x v="1"/>
    <x v="3"/>
    <x v="2"/>
    <n v="1"/>
    <n v="1"/>
    <n v="1"/>
    <n v="0"/>
    <n v="0"/>
    <n v="3"/>
    <n v="0"/>
    <m/>
    <n v="58.1"/>
  </r>
  <r>
    <x v="1204"/>
    <d v="2025-04-13T00:00:00"/>
    <x v="1"/>
    <x v="0"/>
    <x v="1"/>
    <x v="4"/>
    <x v="2"/>
    <n v="0"/>
    <n v="0"/>
    <n v="0"/>
    <n v="0"/>
    <n v="0"/>
    <n v="0"/>
    <n v="0"/>
    <m/>
    <n v="59.7"/>
  </r>
  <r>
    <x v="1205"/>
    <d v="2025-01-25T00:00:00"/>
    <x v="1"/>
    <x v="2"/>
    <x v="1"/>
    <x v="4"/>
    <x v="1"/>
    <n v="0"/>
    <n v="0"/>
    <n v="0"/>
    <n v="0"/>
    <n v="0"/>
    <n v="0"/>
    <n v="0"/>
    <m/>
    <n v="47.7"/>
  </r>
  <r>
    <x v="1206"/>
    <d v="2025-03-17T00:00:00"/>
    <x v="1"/>
    <x v="0"/>
    <x v="1"/>
    <x v="1"/>
    <x v="1"/>
    <n v="0"/>
    <n v="0"/>
    <n v="0"/>
    <n v="0"/>
    <n v="0"/>
    <n v="0"/>
    <n v="0"/>
    <m/>
    <n v="59.1"/>
  </r>
  <r>
    <x v="1207"/>
    <d v="2025-02-21T00:00:00"/>
    <x v="1"/>
    <x v="1"/>
    <x v="0"/>
    <x v="4"/>
    <x v="0"/>
    <n v="1"/>
    <n v="0"/>
    <n v="0"/>
    <n v="0"/>
    <n v="0"/>
    <n v="1"/>
    <n v="0"/>
    <m/>
    <n v="68.7"/>
  </r>
  <r>
    <x v="1208"/>
    <d v="2025-04-08T00:00:00"/>
    <x v="1"/>
    <x v="2"/>
    <x v="2"/>
    <x v="1"/>
    <x v="0"/>
    <n v="0"/>
    <n v="0"/>
    <n v="0"/>
    <n v="0"/>
    <n v="0"/>
    <n v="0"/>
    <n v="0"/>
    <m/>
    <n v="34.700000000000003"/>
  </r>
  <r>
    <x v="1209"/>
    <d v="2025-02-24T00:00:00"/>
    <x v="1"/>
    <x v="1"/>
    <x v="1"/>
    <x v="1"/>
    <x v="0"/>
    <n v="1"/>
    <n v="0"/>
    <n v="0"/>
    <n v="0"/>
    <n v="0"/>
    <n v="0"/>
    <n v="0"/>
    <m/>
    <n v="62"/>
  </r>
  <r>
    <x v="1210"/>
    <d v="2025-05-29T00:00:00"/>
    <x v="1"/>
    <x v="3"/>
    <x v="1"/>
    <x v="1"/>
    <x v="1"/>
    <n v="1"/>
    <n v="1"/>
    <n v="0"/>
    <n v="0"/>
    <n v="0"/>
    <n v="0"/>
    <n v="0"/>
    <m/>
    <n v="56"/>
  </r>
  <r>
    <x v="1211"/>
    <d v="2025-05-30T00:00:00"/>
    <x v="1"/>
    <x v="0"/>
    <x v="1"/>
    <x v="0"/>
    <x v="0"/>
    <n v="1"/>
    <n v="0"/>
    <n v="0"/>
    <n v="0"/>
    <n v="0"/>
    <n v="1"/>
    <n v="0"/>
    <m/>
    <n v="65.8"/>
  </r>
  <r>
    <x v="1212"/>
    <d v="2025-01-24T00:00:00"/>
    <x v="1"/>
    <x v="0"/>
    <x v="0"/>
    <x v="1"/>
    <x v="2"/>
    <n v="0"/>
    <n v="0"/>
    <n v="0"/>
    <n v="0"/>
    <n v="0"/>
    <n v="0"/>
    <n v="0"/>
    <m/>
    <n v="54.7"/>
  </r>
  <r>
    <x v="1213"/>
    <d v="2025-05-12T00:00:00"/>
    <x v="1"/>
    <x v="3"/>
    <x v="1"/>
    <x v="1"/>
    <x v="0"/>
    <n v="1"/>
    <n v="1"/>
    <n v="0"/>
    <n v="0"/>
    <n v="0"/>
    <n v="0"/>
    <n v="0"/>
    <m/>
    <n v="64.099999999999994"/>
  </r>
  <r>
    <x v="1214"/>
    <d v="2025-03-28T00:00:00"/>
    <x v="1"/>
    <x v="3"/>
    <x v="1"/>
    <x v="1"/>
    <x v="0"/>
    <n v="1"/>
    <n v="1"/>
    <n v="1"/>
    <n v="0"/>
    <n v="0"/>
    <n v="0"/>
    <n v="0"/>
    <m/>
    <n v="71.599999999999994"/>
  </r>
  <r>
    <x v="1215"/>
    <d v="2025-04-14T00:00:00"/>
    <x v="1"/>
    <x v="0"/>
    <x v="1"/>
    <x v="3"/>
    <x v="0"/>
    <n v="1"/>
    <n v="0"/>
    <n v="0"/>
    <n v="0"/>
    <n v="0"/>
    <n v="0"/>
    <n v="0"/>
    <m/>
    <n v="78.400000000000006"/>
  </r>
  <r>
    <x v="1216"/>
    <d v="2025-01-28T00:00:00"/>
    <x v="1"/>
    <x v="2"/>
    <x v="2"/>
    <x v="3"/>
    <x v="0"/>
    <n v="0"/>
    <n v="0"/>
    <n v="0"/>
    <n v="0"/>
    <n v="0"/>
    <n v="0"/>
    <n v="0"/>
    <m/>
    <n v="49.3"/>
  </r>
  <r>
    <x v="1217"/>
    <d v="2025-05-21T00:00:00"/>
    <x v="1"/>
    <x v="0"/>
    <x v="1"/>
    <x v="1"/>
    <x v="0"/>
    <n v="0"/>
    <n v="0"/>
    <n v="0"/>
    <n v="0"/>
    <n v="0"/>
    <n v="0"/>
    <n v="0"/>
    <m/>
    <n v="52.8"/>
  </r>
  <r>
    <x v="1218"/>
    <d v="2025-05-11T00:00:00"/>
    <x v="1"/>
    <x v="1"/>
    <x v="0"/>
    <x v="1"/>
    <x v="1"/>
    <n v="0"/>
    <n v="0"/>
    <n v="0"/>
    <n v="0"/>
    <n v="0"/>
    <n v="0"/>
    <n v="0"/>
    <m/>
    <n v="58.5"/>
  </r>
  <r>
    <x v="1219"/>
    <d v="2025-02-02T00:00:00"/>
    <x v="1"/>
    <x v="3"/>
    <x v="1"/>
    <x v="2"/>
    <x v="1"/>
    <n v="1"/>
    <n v="0"/>
    <n v="0"/>
    <n v="0"/>
    <n v="0"/>
    <n v="0"/>
    <n v="0"/>
    <m/>
    <n v="55.9"/>
  </r>
  <r>
    <x v="1220"/>
    <d v="2025-02-26T00:00:00"/>
    <x v="1"/>
    <x v="0"/>
    <x v="1"/>
    <x v="4"/>
    <x v="1"/>
    <n v="1"/>
    <n v="1"/>
    <n v="1"/>
    <n v="1"/>
    <n v="351.43"/>
    <n v="1"/>
    <n v="0"/>
    <n v="6"/>
    <n v="74.900000000000006"/>
  </r>
  <r>
    <x v="1221"/>
    <d v="2025-02-27T00:00:00"/>
    <x v="1"/>
    <x v="3"/>
    <x v="0"/>
    <x v="3"/>
    <x v="1"/>
    <n v="1"/>
    <n v="1"/>
    <n v="1"/>
    <n v="1"/>
    <n v="352.42"/>
    <n v="0"/>
    <n v="0"/>
    <n v="4"/>
    <n v="58.5"/>
  </r>
  <r>
    <x v="1222"/>
    <d v="2025-03-09T00:00:00"/>
    <x v="1"/>
    <x v="1"/>
    <x v="1"/>
    <x v="1"/>
    <x v="1"/>
    <n v="0"/>
    <n v="0"/>
    <n v="0"/>
    <n v="0"/>
    <n v="0"/>
    <n v="0"/>
    <n v="0"/>
    <m/>
    <n v="63.5"/>
  </r>
  <r>
    <x v="1223"/>
    <d v="2025-02-07T00:00:00"/>
    <x v="1"/>
    <x v="0"/>
    <x v="1"/>
    <x v="2"/>
    <x v="0"/>
    <n v="1"/>
    <n v="0"/>
    <n v="0"/>
    <n v="0"/>
    <n v="0"/>
    <n v="1"/>
    <n v="0"/>
    <m/>
    <n v="64.8"/>
  </r>
  <r>
    <x v="1224"/>
    <d v="2025-01-31T00:00:00"/>
    <x v="1"/>
    <x v="1"/>
    <x v="1"/>
    <x v="4"/>
    <x v="1"/>
    <n v="0"/>
    <n v="0"/>
    <n v="0"/>
    <n v="0"/>
    <n v="0"/>
    <n v="0"/>
    <n v="0"/>
    <m/>
    <n v="63.3"/>
  </r>
  <r>
    <x v="1225"/>
    <d v="2025-02-14T00:00:00"/>
    <x v="1"/>
    <x v="0"/>
    <x v="2"/>
    <x v="2"/>
    <x v="0"/>
    <n v="1"/>
    <n v="1"/>
    <n v="1"/>
    <n v="1"/>
    <n v="1074.1600000000001"/>
    <n v="0"/>
    <n v="0"/>
    <n v="8"/>
    <n v="83.7"/>
  </r>
  <r>
    <x v="1226"/>
    <d v="2025-02-12T00:00:00"/>
    <x v="1"/>
    <x v="3"/>
    <x v="0"/>
    <x v="4"/>
    <x v="0"/>
    <n v="0"/>
    <n v="0"/>
    <n v="0"/>
    <n v="0"/>
    <n v="0"/>
    <n v="0"/>
    <n v="0"/>
    <m/>
    <n v="88.7"/>
  </r>
  <r>
    <x v="1227"/>
    <d v="2025-03-23T00:00:00"/>
    <x v="1"/>
    <x v="2"/>
    <x v="3"/>
    <x v="2"/>
    <x v="1"/>
    <n v="1"/>
    <n v="0"/>
    <n v="0"/>
    <n v="0"/>
    <n v="0"/>
    <n v="1"/>
    <n v="0"/>
    <m/>
    <n v="61.5"/>
  </r>
  <r>
    <x v="1228"/>
    <d v="2025-03-18T00:00:00"/>
    <x v="1"/>
    <x v="1"/>
    <x v="1"/>
    <x v="2"/>
    <x v="1"/>
    <n v="0"/>
    <n v="0"/>
    <n v="0"/>
    <n v="0"/>
    <n v="0"/>
    <n v="0"/>
    <n v="0"/>
    <m/>
    <n v="45.3"/>
  </r>
  <r>
    <x v="1229"/>
    <d v="2025-05-17T00:00:00"/>
    <x v="1"/>
    <x v="0"/>
    <x v="1"/>
    <x v="4"/>
    <x v="1"/>
    <n v="1"/>
    <n v="0"/>
    <n v="0"/>
    <n v="0"/>
    <n v="0"/>
    <n v="0"/>
    <n v="0"/>
    <m/>
    <n v="37.299999999999997"/>
  </r>
  <r>
    <x v="1230"/>
    <d v="2025-03-26T00:00:00"/>
    <x v="1"/>
    <x v="1"/>
    <x v="0"/>
    <x v="4"/>
    <x v="2"/>
    <n v="1"/>
    <n v="0"/>
    <n v="0"/>
    <n v="0"/>
    <n v="0"/>
    <n v="1"/>
    <n v="0"/>
    <m/>
    <n v="76.099999999999994"/>
  </r>
  <r>
    <x v="1231"/>
    <d v="2025-03-30T00:00:00"/>
    <x v="1"/>
    <x v="2"/>
    <x v="1"/>
    <x v="1"/>
    <x v="1"/>
    <n v="1"/>
    <n v="1"/>
    <n v="1"/>
    <n v="0"/>
    <n v="0"/>
    <n v="1"/>
    <n v="0"/>
    <m/>
    <n v="72.5"/>
  </r>
  <r>
    <x v="1232"/>
    <d v="2025-02-25T00:00:00"/>
    <x v="1"/>
    <x v="2"/>
    <x v="0"/>
    <x v="1"/>
    <x v="1"/>
    <n v="1"/>
    <n v="0"/>
    <n v="0"/>
    <n v="0"/>
    <n v="0"/>
    <n v="0"/>
    <n v="0"/>
    <m/>
    <n v="62.3"/>
  </r>
  <r>
    <x v="1233"/>
    <d v="2025-03-01T00:00:00"/>
    <x v="1"/>
    <x v="2"/>
    <x v="0"/>
    <x v="4"/>
    <x v="1"/>
    <n v="0"/>
    <n v="0"/>
    <n v="0"/>
    <n v="0"/>
    <n v="0"/>
    <n v="0"/>
    <n v="0"/>
    <m/>
    <n v="62.7"/>
  </r>
  <r>
    <x v="1234"/>
    <d v="2025-05-27T00:00:00"/>
    <x v="1"/>
    <x v="0"/>
    <x v="1"/>
    <x v="2"/>
    <x v="0"/>
    <n v="0"/>
    <n v="0"/>
    <n v="0"/>
    <n v="0"/>
    <n v="0"/>
    <n v="0"/>
    <n v="0"/>
    <m/>
    <n v="82.4"/>
  </r>
  <r>
    <x v="1235"/>
    <d v="2025-02-05T00:00:00"/>
    <x v="1"/>
    <x v="1"/>
    <x v="1"/>
    <x v="5"/>
    <x v="2"/>
    <n v="1"/>
    <n v="0"/>
    <n v="0"/>
    <n v="0"/>
    <n v="0"/>
    <n v="0"/>
    <n v="0"/>
    <m/>
    <n v="78.900000000000006"/>
  </r>
  <r>
    <x v="1236"/>
    <d v="2025-01-25T00:00:00"/>
    <x v="1"/>
    <x v="1"/>
    <x v="0"/>
    <x v="0"/>
    <x v="1"/>
    <n v="1"/>
    <n v="1"/>
    <n v="1"/>
    <n v="1"/>
    <n v="618.91"/>
    <n v="0"/>
    <n v="0"/>
    <n v="4"/>
    <n v="67.8"/>
  </r>
  <r>
    <x v="1237"/>
    <d v="2025-04-10T00:00:00"/>
    <x v="1"/>
    <x v="2"/>
    <x v="1"/>
    <x v="1"/>
    <x v="2"/>
    <n v="1"/>
    <n v="0"/>
    <n v="0"/>
    <n v="0"/>
    <n v="0"/>
    <n v="0"/>
    <n v="0"/>
    <m/>
    <n v="68.8"/>
  </r>
  <r>
    <x v="1238"/>
    <d v="2025-01-10T00:00:00"/>
    <x v="1"/>
    <x v="2"/>
    <x v="1"/>
    <x v="1"/>
    <x v="2"/>
    <n v="1"/>
    <n v="0"/>
    <n v="0"/>
    <n v="0"/>
    <n v="0"/>
    <n v="0"/>
    <n v="0"/>
    <m/>
    <n v="67.7"/>
  </r>
  <r>
    <x v="1239"/>
    <d v="2025-02-23T00:00:00"/>
    <x v="1"/>
    <x v="2"/>
    <x v="1"/>
    <x v="5"/>
    <x v="1"/>
    <n v="0"/>
    <n v="0"/>
    <n v="0"/>
    <n v="0"/>
    <n v="0"/>
    <n v="0"/>
    <n v="0"/>
    <m/>
    <n v="88"/>
  </r>
  <r>
    <x v="1240"/>
    <d v="2025-05-23T00:00:00"/>
    <x v="1"/>
    <x v="1"/>
    <x v="0"/>
    <x v="1"/>
    <x v="0"/>
    <n v="1"/>
    <n v="1"/>
    <n v="0"/>
    <n v="0"/>
    <n v="0"/>
    <n v="0"/>
    <n v="0"/>
    <m/>
    <n v="80.099999999999994"/>
  </r>
  <r>
    <x v="1241"/>
    <d v="2025-03-08T00:00:00"/>
    <x v="1"/>
    <x v="0"/>
    <x v="2"/>
    <x v="0"/>
    <x v="0"/>
    <n v="0"/>
    <n v="0"/>
    <n v="0"/>
    <n v="0"/>
    <n v="0"/>
    <n v="1"/>
    <n v="0"/>
    <m/>
    <n v="48.2"/>
  </r>
  <r>
    <x v="1242"/>
    <d v="2025-05-21T00:00:00"/>
    <x v="1"/>
    <x v="2"/>
    <x v="1"/>
    <x v="1"/>
    <x v="0"/>
    <n v="1"/>
    <n v="0"/>
    <n v="0"/>
    <n v="0"/>
    <n v="0"/>
    <n v="0"/>
    <n v="0"/>
    <m/>
    <n v="52.7"/>
  </r>
  <r>
    <x v="1243"/>
    <d v="2025-04-22T00:00:00"/>
    <x v="1"/>
    <x v="0"/>
    <x v="1"/>
    <x v="0"/>
    <x v="0"/>
    <n v="1"/>
    <n v="1"/>
    <n v="0"/>
    <n v="0"/>
    <n v="0"/>
    <n v="0"/>
    <n v="0"/>
    <m/>
    <n v="59.9"/>
  </r>
  <r>
    <x v="1244"/>
    <d v="2025-04-16T00:00:00"/>
    <x v="1"/>
    <x v="0"/>
    <x v="1"/>
    <x v="0"/>
    <x v="2"/>
    <n v="1"/>
    <n v="0"/>
    <n v="0"/>
    <n v="0"/>
    <n v="0"/>
    <n v="0"/>
    <n v="0"/>
    <m/>
    <n v="49.5"/>
  </r>
  <r>
    <x v="1245"/>
    <d v="2025-05-08T00:00:00"/>
    <x v="1"/>
    <x v="0"/>
    <x v="2"/>
    <x v="1"/>
    <x v="1"/>
    <n v="1"/>
    <n v="0"/>
    <n v="0"/>
    <n v="0"/>
    <n v="0"/>
    <n v="0"/>
    <n v="0"/>
    <m/>
    <n v="41.5"/>
  </r>
  <r>
    <x v="1246"/>
    <d v="2025-05-22T00:00:00"/>
    <x v="1"/>
    <x v="0"/>
    <x v="1"/>
    <x v="2"/>
    <x v="0"/>
    <n v="1"/>
    <n v="0"/>
    <n v="0"/>
    <n v="0"/>
    <n v="0"/>
    <n v="0"/>
    <n v="0"/>
    <m/>
    <n v="71.2"/>
  </r>
  <r>
    <x v="1247"/>
    <d v="2025-03-21T00:00:00"/>
    <x v="1"/>
    <x v="0"/>
    <x v="1"/>
    <x v="3"/>
    <x v="0"/>
    <n v="1"/>
    <n v="1"/>
    <n v="1"/>
    <n v="0"/>
    <n v="0"/>
    <n v="0"/>
    <n v="0"/>
    <m/>
    <n v="65.8"/>
  </r>
  <r>
    <x v="1248"/>
    <d v="2025-03-22T00:00:00"/>
    <x v="1"/>
    <x v="2"/>
    <x v="1"/>
    <x v="1"/>
    <x v="0"/>
    <n v="1"/>
    <n v="0"/>
    <n v="0"/>
    <n v="0"/>
    <n v="0"/>
    <n v="1"/>
    <n v="0"/>
    <m/>
    <n v="55.1"/>
  </r>
  <r>
    <x v="1249"/>
    <d v="2025-01-10T00:00:00"/>
    <x v="1"/>
    <x v="1"/>
    <x v="0"/>
    <x v="4"/>
    <x v="1"/>
    <n v="1"/>
    <n v="0"/>
    <n v="0"/>
    <n v="0"/>
    <n v="0"/>
    <n v="0"/>
    <n v="0"/>
    <m/>
    <n v="54.6"/>
  </r>
  <r>
    <x v="1250"/>
    <d v="2025-02-01T00:00:00"/>
    <x v="1"/>
    <x v="2"/>
    <x v="1"/>
    <x v="1"/>
    <x v="0"/>
    <n v="1"/>
    <n v="1"/>
    <n v="1"/>
    <n v="1"/>
    <n v="923.67"/>
    <n v="0"/>
    <n v="0"/>
    <n v="4"/>
    <n v="81.900000000000006"/>
  </r>
  <r>
    <x v="1251"/>
    <d v="2025-03-31T00:00:00"/>
    <x v="1"/>
    <x v="3"/>
    <x v="1"/>
    <x v="2"/>
    <x v="0"/>
    <n v="1"/>
    <n v="1"/>
    <n v="0"/>
    <n v="0"/>
    <n v="0"/>
    <n v="3"/>
    <n v="0"/>
    <m/>
    <n v="63.2"/>
  </r>
  <r>
    <x v="1252"/>
    <d v="2025-04-25T00:00:00"/>
    <x v="1"/>
    <x v="0"/>
    <x v="1"/>
    <x v="2"/>
    <x v="1"/>
    <n v="1"/>
    <n v="0"/>
    <n v="0"/>
    <n v="0"/>
    <n v="0"/>
    <n v="0"/>
    <n v="0"/>
    <m/>
    <n v="55.4"/>
  </r>
  <r>
    <x v="1253"/>
    <d v="2025-05-02T00:00:00"/>
    <x v="1"/>
    <x v="1"/>
    <x v="1"/>
    <x v="4"/>
    <x v="0"/>
    <n v="0"/>
    <n v="0"/>
    <n v="0"/>
    <n v="0"/>
    <n v="0"/>
    <n v="0"/>
    <n v="0"/>
    <m/>
    <n v="87.5"/>
  </r>
  <r>
    <x v="1254"/>
    <d v="2025-03-08T00:00:00"/>
    <x v="1"/>
    <x v="3"/>
    <x v="0"/>
    <x v="4"/>
    <x v="0"/>
    <n v="1"/>
    <n v="0"/>
    <n v="0"/>
    <n v="0"/>
    <n v="0"/>
    <n v="0"/>
    <n v="0"/>
    <m/>
    <n v="48.5"/>
  </r>
  <r>
    <x v="1255"/>
    <d v="2025-01-27T00:00:00"/>
    <x v="1"/>
    <x v="2"/>
    <x v="0"/>
    <x v="5"/>
    <x v="1"/>
    <n v="1"/>
    <n v="1"/>
    <n v="1"/>
    <n v="1"/>
    <n v="420.27"/>
    <n v="0"/>
    <n v="0"/>
    <n v="6"/>
    <n v="58.4"/>
  </r>
  <r>
    <x v="1256"/>
    <d v="2025-04-27T00:00:00"/>
    <x v="1"/>
    <x v="1"/>
    <x v="1"/>
    <x v="2"/>
    <x v="1"/>
    <n v="0"/>
    <n v="0"/>
    <n v="0"/>
    <n v="0"/>
    <n v="0"/>
    <n v="0"/>
    <n v="0"/>
    <m/>
    <n v="59.5"/>
  </r>
  <r>
    <x v="1257"/>
    <d v="2025-01-16T00:00:00"/>
    <x v="1"/>
    <x v="1"/>
    <x v="0"/>
    <x v="2"/>
    <x v="0"/>
    <n v="1"/>
    <n v="0"/>
    <n v="0"/>
    <n v="0"/>
    <n v="0"/>
    <n v="0"/>
    <n v="0"/>
    <m/>
    <n v="93.2"/>
  </r>
  <r>
    <x v="1258"/>
    <d v="2025-01-18T00:00:00"/>
    <x v="1"/>
    <x v="1"/>
    <x v="0"/>
    <x v="2"/>
    <x v="0"/>
    <n v="1"/>
    <n v="0"/>
    <n v="0"/>
    <n v="0"/>
    <n v="0"/>
    <n v="0"/>
    <n v="0"/>
    <m/>
    <n v="59"/>
  </r>
  <r>
    <x v="1259"/>
    <d v="2025-03-21T00:00:00"/>
    <x v="1"/>
    <x v="0"/>
    <x v="1"/>
    <x v="1"/>
    <x v="1"/>
    <n v="1"/>
    <n v="0"/>
    <n v="0"/>
    <n v="0"/>
    <n v="0"/>
    <n v="0"/>
    <n v="0"/>
    <m/>
    <n v="37"/>
  </r>
  <r>
    <x v="1260"/>
    <d v="2025-04-02T00:00:00"/>
    <x v="1"/>
    <x v="0"/>
    <x v="0"/>
    <x v="2"/>
    <x v="1"/>
    <n v="1"/>
    <n v="0"/>
    <n v="0"/>
    <n v="0"/>
    <n v="0"/>
    <n v="0"/>
    <n v="0"/>
    <m/>
    <n v="47.5"/>
  </r>
  <r>
    <x v="1261"/>
    <d v="2025-02-16T00:00:00"/>
    <x v="1"/>
    <x v="1"/>
    <x v="0"/>
    <x v="1"/>
    <x v="1"/>
    <n v="1"/>
    <n v="1"/>
    <n v="1"/>
    <n v="0"/>
    <n v="0"/>
    <n v="0"/>
    <n v="0"/>
    <m/>
    <n v="78.7"/>
  </r>
  <r>
    <x v="1262"/>
    <d v="2025-02-18T00:00:00"/>
    <x v="1"/>
    <x v="0"/>
    <x v="1"/>
    <x v="4"/>
    <x v="1"/>
    <n v="1"/>
    <n v="0"/>
    <n v="0"/>
    <n v="0"/>
    <n v="0"/>
    <n v="0"/>
    <n v="0"/>
    <m/>
    <n v="49.6"/>
  </r>
  <r>
    <x v="1263"/>
    <d v="2025-01-09T00:00:00"/>
    <x v="1"/>
    <x v="2"/>
    <x v="1"/>
    <x v="1"/>
    <x v="1"/>
    <n v="1"/>
    <n v="0"/>
    <n v="0"/>
    <n v="0"/>
    <n v="0"/>
    <n v="0"/>
    <n v="0"/>
    <m/>
    <n v="58"/>
  </r>
  <r>
    <x v="1264"/>
    <d v="2025-02-18T00:00:00"/>
    <x v="1"/>
    <x v="0"/>
    <x v="0"/>
    <x v="2"/>
    <x v="1"/>
    <n v="1"/>
    <n v="0"/>
    <n v="0"/>
    <n v="0"/>
    <n v="0"/>
    <n v="1"/>
    <n v="0"/>
    <m/>
    <n v="54.4"/>
  </r>
  <r>
    <x v="1265"/>
    <d v="2025-01-10T00:00:00"/>
    <x v="1"/>
    <x v="2"/>
    <x v="1"/>
    <x v="3"/>
    <x v="1"/>
    <n v="0"/>
    <n v="0"/>
    <n v="0"/>
    <n v="0"/>
    <n v="0"/>
    <n v="0"/>
    <n v="0"/>
    <m/>
    <n v="33.700000000000003"/>
  </r>
  <r>
    <x v="1266"/>
    <d v="2025-03-08T00:00:00"/>
    <x v="1"/>
    <x v="1"/>
    <x v="1"/>
    <x v="0"/>
    <x v="1"/>
    <n v="1"/>
    <n v="0"/>
    <n v="0"/>
    <n v="0"/>
    <n v="0"/>
    <n v="0"/>
    <n v="0"/>
    <m/>
    <n v="72.7"/>
  </r>
  <r>
    <x v="1267"/>
    <d v="2025-04-16T00:00:00"/>
    <x v="1"/>
    <x v="2"/>
    <x v="0"/>
    <x v="2"/>
    <x v="0"/>
    <n v="0"/>
    <n v="0"/>
    <n v="0"/>
    <n v="0"/>
    <n v="0"/>
    <n v="0"/>
    <n v="0"/>
    <m/>
    <n v="64.7"/>
  </r>
  <r>
    <x v="1268"/>
    <d v="2025-02-19T00:00:00"/>
    <x v="1"/>
    <x v="1"/>
    <x v="0"/>
    <x v="2"/>
    <x v="2"/>
    <n v="0"/>
    <n v="0"/>
    <n v="0"/>
    <n v="0"/>
    <n v="0"/>
    <n v="1"/>
    <n v="0"/>
    <m/>
    <n v="48.6"/>
  </r>
  <r>
    <x v="1269"/>
    <d v="2025-03-16T00:00:00"/>
    <x v="1"/>
    <x v="2"/>
    <x v="0"/>
    <x v="4"/>
    <x v="1"/>
    <n v="1"/>
    <n v="1"/>
    <n v="0"/>
    <n v="0"/>
    <n v="0"/>
    <n v="0"/>
    <n v="0"/>
    <m/>
    <n v="66.2"/>
  </r>
  <r>
    <x v="1270"/>
    <d v="2025-02-03T00:00:00"/>
    <x v="1"/>
    <x v="1"/>
    <x v="3"/>
    <x v="3"/>
    <x v="0"/>
    <n v="1"/>
    <n v="0"/>
    <n v="0"/>
    <n v="0"/>
    <n v="0"/>
    <n v="1"/>
    <n v="0"/>
    <m/>
    <n v="60.7"/>
  </r>
  <r>
    <x v="1271"/>
    <d v="2025-03-12T00:00:00"/>
    <x v="1"/>
    <x v="1"/>
    <x v="1"/>
    <x v="2"/>
    <x v="0"/>
    <n v="1"/>
    <n v="0"/>
    <n v="0"/>
    <n v="0"/>
    <n v="0"/>
    <n v="0"/>
    <n v="0"/>
    <m/>
    <n v="36.5"/>
  </r>
  <r>
    <x v="1272"/>
    <d v="2025-05-09T00:00:00"/>
    <x v="1"/>
    <x v="1"/>
    <x v="1"/>
    <x v="4"/>
    <x v="1"/>
    <n v="1"/>
    <n v="1"/>
    <n v="1"/>
    <n v="0"/>
    <n v="0"/>
    <n v="3"/>
    <n v="0"/>
    <m/>
    <n v="69.7"/>
  </r>
  <r>
    <x v="1273"/>
    <d v="2025-01-19T00:00:00"/>
    <x v="1"/>
    <x v="3"/>
    <x v="0"/>
    <x v="4"/>
    <x v="2"/>
    <n v="1"/>
    <n v="0"/>
    <n v="0"/>
    <n v="0"/>
    <n v="0"/>
    <n v="0"/>
    <n v="0"/>
    <m/>
    <n v="81.8"/>
  </r>
  <r>
    <x v="1274"/>
    <d v="2025-01-24T00:00:00"/>
    <x v="1"/>
    <x v="1"/>
    <x v="1"/>
    <x v="3"/>
    <x v="1"/>
    <n v="1"/>
    <n v="1"/>
    <n v="1"/>
    <n v="0"/>
    <n v="0"/>
    <n v="1"/>
    <n v="0"/>
    <m/>
    <n v="78.3"/>
  </r>
  <r>
    <x v="1275"/>
    <d v="2025-03-03T00:00:00"/>
    <x v="1"/>
    <x v="2"/>
    <x v="1"/>
    <x v="3"/>
    <x v="1"/>
    <n v="1"/>
    <n v="1"/>
    <n v="0"/>
    <n v="0"/>
    <n v="0"/>
    <n v="0"/>
    <n v="0"/>
    <m/>
    <n v="79.400000000000006"/>
  </r>
  <r>
    <x v="1276"/>
    <d v="2025-05-27T00:00:00"/>
    <x v="1"/>
    <x v="0"/>
    <x v="0"/>
    <x v="3"/>
    <x v="1"/>
    <n v="1"/>
    <n v="1"/>
    <n v="1"/>
    <n v="0"/>
    <n v="0"/>
    <n v="0"/>
    <n v="0"/>
    <m/>
    <n v="54.9"/>
  </r>
  <r>
    <x v="1277"/>
    <d v="2025-04-23T00:00:00"/>
    <x v="1"/>
    <x v="1"/>
    <x v="0"/>
    <x v="1"/>
    <x v="0"/>
    <n v="1"/>
    <n v="0"/>
    <n v="0"/>
    <n v="0"/>
    <n v="0"/>
    <n v="0"/>
    <n v="0"/>
    <m/>
    <n v="54.9"/>
  </r>
  <r>
    <x v="1278"/>
    <d v="2025-02-10T00:00:00"/>
    <x v="1"/>
    <x v="2"/>
    <x v="0"/>
    <x v="4"/>
    <x v="1"/>
    <n v="0"/>
    <n v="0"/>
    <n v="0"/>
    <n v="0"/>
    <n v="0"/>
    <n v="0"/>
    <n v="0"/>
    <m/>
    <n v="28.7"/>
  </r>
  <r>
    <x v="1279"/>
    <d v="2025-02-11T00:00:00"/>
    <x v="1"/>
    <x v="0"/>
    <x v="1"/>
    <x v="1"/>
    <x v="1"/>
    <n v="0"/>
    <n v="0"/>
    <n v="0"/>
    <n v="0"/>
    <n v="0"/>
    <n v="0"/>
    <n v="0"/>
    <m/>
    <n v="68.8"/>
  </r>
  <r>
    <x v="1280"/>
    <d v="2025-01-21T00:00:00"/>
    <x v="1"/>
    <x v="2"/>
    <x v="0"/>
    <x v="2"/>
    <x v="1"/>
    <n v="1"/>
    <n v="1"/>
    <n v="1"/>
    <n v="0"/>
    <n v="0"/>
    <n v="0"/>
    <n v="0"/>
    <m/>
    <n v="43.5"/>
  </r>
  <r>
    <x v="1281"/>
    <d v="2025-02-02T00:00:00"/>
    <x v="1"/>
    <x v="1"/>
    <x v="0"/>
    <x v="4"/>
    <x v="1"/>
    <n v="1"/>
    <n v="1"/>
    <n v="0"/>
    <n v="0"/>
    <n v="0"/>
    <n v="0"/>
    <n v="0"/>
    <m/>
    <n v="62.6"/>
  </r>
  <r>
    <x v="1282"/>
    <d v="2025-02-02T00:00:00"/>
    <x v="1"/>
    <x v="1"/>
    <x v="1"/>
    <x v="1"/>
    <x v="1"/>
    <n v="0"/>
    <n v="0"/>
    <n v="0"/>
    <n v="0"/>
    <n v="0"/>
    <n v="1"/>
    <n v="0"/>
    <m/>
    <n v="54.1"/>
  </r>
  <r>
    <x v="1283"/>
    <d v="2025-02-26T00:00:00"/>
    <x v="1"/>
    <x v="1"/>
    <x v="2"/>
    <x v="4"/>
    <x v="1"/>
    <n v="1"/>
    <n v="1"/>
    <n v="1"/>
    <n v="0"/>
    <n v="0"/>
    <n v="0"/>
    <n v="0"/>
    <m/>
    <n v="80.099999999999994"/>
  </r>
  <r>
    <x v="1284"/>
    <d v="2025-04-22T00:00:00"/>
    <x v="1"/>
    <x v="0"/>
    <x v="1"/>
    <x v="4"/>
    <x v="2"/>
    <n v="1"/>
    <n v="0"/>
    <n v="0"/>
    <n v="0"/>
    <n v="0"/>
    <n v="0"/>
    <n v="0"/>
    <m/>
    <n v="69.5"/>
  </r>
  <r>
    <x v="1285"/>
    <d v="2025-03-11T00:00:00"/>
    <x v="1"/>
    <x v="0"/>
    <x v="0"/>
    <x v="1"/>
    <x v="0"/>
    <n v="0"/>
    <n v="0"/>
    <n v="0"/>
    <n v="0"/>
    <n v="0"/>
    <n v="2"/>
    <n v="0"/>
    <m/>
    <n v="46.6"/>
  </r>
  <r>
    <x v="1286"/>
    <d v="2025-05-08T00:00:00"/>
    <x v="1"/>
    <x v="3"/>
    <x v="1"/>
    <x v="1"/>
    <x v="2"/>
    <n v="1"/>
    <n v="0"/>
    <n v="0"/>
    <n v="0"/>
    <n v="0"/>
    <n v="1"/>
    <n v="0"/>
    <m/>
    <n v="54.9"/>
  </r>
  <r>
    <x v="1287"/>
    <d v="2025-03-10T00:00:00"/>
    <x v="1"/>
    <x v="2"/>
    <x v="0"/>
    <x v="1"/>
    <x v="1"/>
    <n v="0"/>
    <n v="0"/>
    <n v="0"/>
    <n v="0"/>
    <n v="0"/>
    <n v="0"/>
    <n v="0"/>
    <m/>
    <n v="100"/>
  </r>
  <r>
    <x v="1288"/>
    <d v="2025-04-16T00:00:00"/>
    <x v="1"/>
    <x v="2"/>
    <x v="0"/>
    <x v="2"/>
    <x v="1"/>
    <n v="1"/>
    <n v="1"/>
    <n v="1"/>
    <n v="0"/>
    <n v="0"/>
    <n v="1"/>
    <n v="0"/>
    <m/>
    <n v="80.5"/>
  </r>
  <r>
    <x v="1289"/>
    <d v="2025-03-01T00:00:00"/>
    <x v="1"/>
    <x v="1"/>
    <x v="2"/>
    <x v="1"/>
    <x v="0"/>
    <n v="1"/>
    <n v="0"/>
    <n v="0"/>
    <n v="0"/>
    <n v="0"/>
    <n v="0"/>
    <n v="0"/>
    <m/>
    <n v="51.2"/>
  </r>
  <r>
    <x v="1290"/>
    <d v="2025-01-18T00:00:00"/>
    <x v="1"/>
    <x v="3"/>
    <x v="0"/>
    <x v="1"/>
    <x v="2"/>
    <n v="1"/>
    <n v="0"/>
    <n v="0"/>
    <n v="0"/>
    <n v="0"/>
    <n v="0"/>
    <n v="0"/>
    <m/>
    <n v="42.5"/>
  </r>
  <r>
    <x v="1291"/>
    <d v="2025-03-30T00:00:00"/>
    <x v="1"/>
    <x v="0"/>
    <x v="1"/>
    <x v="2"/>
    <x v="1"/>
    <n v="0"/>
    <n v="0"/>
    <n v="0"/>
    <n v="0"/>
    <n v="0"/>
    <n v="0"/>
    <n v="0"/>
    <m/>
    <n v="72.5"/>
  </r>
  <r>
    <x v="1292"/>
    <d v="2025-05-26T00:00:00"/>
    <x v="1"/>
    <x v="1"/>
    <x v="1"/>
    <x v="4"/>
    <x v="2"/>
    <n v="0"/>
    <n v="0"/>
    <n v="0"/>
    <n v="0"/>
    <n v="0"/>
    <n v="0"/>
    <n v="0"/>
    <m/>
    <n v="74.400000000000006"/>
  </r>
  <r>
    <x v="1293"/>
    <d v="2025-03-19T00:00:00"/>
    <x v="1"/>
    <x v="2"/>
    <x v="0"/>
    <x v="4"/>
    <x v="1"/>
    <n v="0"/>
    <n v="0"/>
    <n v="0"/>
    <n v="0"/>
    <n v="0"/>
    <n v="0"/>
    <n v="0"/>
    <m/>
    <n v="78.400000000000006"/>
  </r>
  <r>
    <x v="1294"/>
    <d v="2025-03-28T00:00:00"/>
    <x v="1"/>
    <x v="0"/>
    <x v="0"/>
    <x v="3"/>
    <x v="1"/>
    <n v="1"/>
    <n v="0"/>
    <n v="0"/>
    <n v="0"/>
    <n v="0"/>
    <n v="0"/>
    <n v="0"/>
    <m/>
    <n v="71.5"/>
  </r>
  <r>
    <x v="1295"/>
    <d v="2025-05-28T00:00:00"/>
    <x v="1"/>
    <x v="3"/>
    <x v="0"/>
    <x v="4"/>
    <x v="1"/>
    <n v="1"/>
    <n v="0"/>
    <n v="0"/>
    <n v="0"/>
    <n v="0"/>
    <n v="0"/>
    <n v="0"/>
    <m/>
    <n v="66.7"/>
  </r>
  <r>
    <x v="1296"/>
    <d v="2025-05-31T00:00:00"/>
    <x v="1"/>
    <x v="3"/>
    <x v="0"/>
    <x v="3"/>
    <x v="2"/>
    <n v="1"/>
    <n v="1"/>
    <n v="1"/>
    <n v="1"/>
    <n v="1496.09"/>
    <n v="0"/>
    <n v="0"/>
    <n v="7"/>
    <n v="60.4"/>
  </r>
  <r>
    <x v="1297"/>
    <d v="2025-05-10T00:00:00"/>
    <x v="1"/>
    <x v="0"/>
    <x v="1"/>
    <x v="3"/>
    <x v="1"/>
    <n v="0"/>
    <n v="0"/>
    <n v="0"/>
    <n v="0"/>
    <n v="0"/>
    <n v="1"/>
    <n v="0"/>
    <m/>
    <n v="72.900000000000006"/>
  </r>
  <r>
    <x v="1298"/>
    <d v="2025-05-17T00:00:00"/>
    <x v="1"/>
    <x v="1"/>
    <x v="1"/>
    <x v="1"/>
    <x v="1"/>
    <n v="0"/>
    <n v="0"/>
    <n v="0"/>
    <n v="0"/>
    <n v="0"/>
    <n v="3"/>
    <n v="0"/>
    <m/>
    <m/>
  </r>
  <r>
    <x v="1299"/>
    <d v="2025-01-18T00:00:00"/>
    <x v="1"/>
    <x v="3"/>
    <x v="1"/>
    <x v="1"/>
    <x v="2"/>
    <n v="1"/>
    <n v="0"/>
    <n v="0"/>
    <n v="0"/>
    <n v="0"/>
    <n v="0"/>
    <n v="0"/>
    <m/>
    <n v="55.2"/>
  </r>
  <r>
    <x v="1300"/>
    <d v="2025-05-04T00:00:00"/>
    <x v="1"/>
    <x v="1"/>
    <x v="1"/>
    <x v="4"/>
    <x v="1"/>
    <n v="1"/>
    <n v="0"/>
    <n v="0"/>
    <n v="0"/>
    <n v="0"/>
    <n v="0"/>
    <n v="0"/>
    <m/>
    <n v="67.8"/>
  </r>
  <r>
    <x v="1301"/>
    <d v="2025-03-25T00:00:00"/>
    <x v="1"/>
    <x v="0"/>
    <x v="1"/>
    <x v="1"/>
    <x v="1"/>
    <n v="1"/>
    <n v="0"/>
    <n v="0"/>
    <n v="0"/>
    <n v="0"/>
    <n v="2"/>
    <n v="0"/>
    <m/>
    <n v="70"/>
  </r>
  <r>
    <x v="1302"/>
    <d v="2025-02-27T00:00:00"/>
    <x v="1"/>
    <x v="0"/>
    <x v="1"/>
    <x v="4"/>
    <x v="0"/>
    <n v="1"/>
    <n v="1"/>
    <n v="1"/>
    <n v="0"/>
    <n v="0"/>
    <n v="0"/>
    <n v="0"/>
    <m/>
    <n v="51.1"/>
  </r>
  <r>
    <x v="1303"/>
    <d v="2025-01-14T00:00:00"/>
    <x v="1"/>
    <x v="1"/>
    <x v="1"/>
    <x v="2"/>
    <x v="0"/>
    <n v="1"/>
    <n v="1"/>
    <n v="1"/>
    <n v="0"/>
    <n v="0"/>
    <n v="0"/>
    <n v="0"/>
    <m/>
    <n v="57"/>
  </r>
  <r>
    <x v="1304"/>
    <d v="2025-04-11T00:00:00"/>
    <x v="1"/>
    <x v="2"/>
    <x v="1"/>
    <x v="4"/>
    <x v="1"/>
    <n v="0"/>
    <n v="0"/>
    <n v="0"/>
    <n v="0"/>
    <n v="0"/>
    <n v="1"/>
    <n v="0"/>
    <m/>
    <n v="47.1"/>
  </r>
  <r>
    <x v="1305"/>
    <d v="2025-03-26T00:00:00"/>
    <x v="1"/>
    <x v="2"/>
    <x v="0"/>
    <x v="4"/>
    <x v="0"/>
    <n v="0"/>
    <n v="0"/>
    <n v="0"/>
    <n v="0"/>
    <n v="0"/>
    <n v="0"/>
    <n v="0"/>
    <m/>
    <n v="30.7"/>
  </r>
  <r>
    <x v="1306"/>
    <d v="2025-02-12T00:00:00"/>
    <x v="1"/>
    <x v="1"/>
    <x v="0"/>
    <x v="4"/>
    <x v="1"/>
    <n v="1"/>
    <n v="0"/>
    <n v="0"/>
    <n v="0"/>
    <n v="0"/>
    <n v="0"/>
    <n v="0"/>
    <m/>
    <n v="57.3"/>
  </r>
  <r>
    <x v="1307"/>
    <d v="2025-02-18T00:00:00"/>
    <x v="1"/>
    <x v="1"/>
    <x v="2"/>
    <x v="2"/>
    <x v="0"/>
    <n v="1"/>
    <n v="0"/>
    <n v="0"/>
    <n v="0"/>
    <n v="0"/>
    <n v="0"/>
    <n v="0"/>
    <m/>
    <n v="70"/>
  </r>
  <r>
    <x v="1308"/>
    <d v="2025-05-25T00:00:00"/>
    <x v="1"/>
    <x v="2"/>
    <x v="0"/>
    <x v="4"/>
    <x v="1"/>
    <n v="1"/>
    <n v="1"/>
    <n v="1"/>
    <n v="0"/>
    <n v="0"/>
    <n v="0"/>
    <n v="0"/>
    <m/>
    <n v="59.7"/>
  </r>
  <r>
    <x v="1309"/>
    <d v="2025-05-23T00:00:00"/>
    <x v="1"/>
    <x v="2"/>
    <x v="0"/>
    <x v="2"/>
    <x v="0"/>
    <n v="1"/>
    <n v="0"/>
    <n v="0"/>
    <n v="0"/>
    <n v="0"/>
    <n v="0"/>
    <n v="0"/>
    <m/>
    <n v="68.8"/>
  </r>
  <r>
    <x v="1310"/>
    <d v="2025-01-16T00:00:00"/>
    <x v="1"/>
    <x v="0"/>
    <x v="0"/>
    <x v="1"/>
    <x v="1"/>
    <n v="1"/>
    <n v="1"/>
    <n v="1"/>
    <n v="1"/>
    <n v="428.37"/>
    <n v="0"/>
    <n v="0"/>
    <n v="9"/>
    <n v="88.3"/>
  </r>
  <r>
    <x v="1311"/>
    <d v="2025-01-19T00:00:00"/>
    <x v="1"/>
    <x v="1"/>
    <x v="0"/>
    <x v="0"/>
    <x v="0"/>
    <n v="0"/>
    <n v="0"/>
    <n v="0"/>
    <n v="0"/>
    <n v="0"/>
    <n v="0"/>
    <n v="0"/>
    <m/>
    <n v="83.4"/>
  </r>
  <r>
    <x v="1312"/>
    <d v="2025-05-18T00:00:00"/>
    <x v="1"/>
    <x v="3"/>
    <x v="1"/>
    <x v="3"/>
    <x v="1"/>
    <n v="0"/>
    <n v="0"/>
    <n v="0"/>
    <n v="0"/>
    <n v="0"/>
    <n v="1"/>
    <n v="0"/>
    <m/>
    <n v="81.599999999999994"/>
  </r>
  <r>
    <x v="1313"/>
    <d v="2025-01-23T00:00:00"/>
    <x v="1"/>
    <x v="2"/>
    <x v="2"/>
    <x v="4"/>
    <x v="2"/>
    <n v="1"/>
    <n v="0"/>
    <n v="0"/>
    <n v="0"/>
    <n v="0"/>
    <n v="0"/>
    <n v="0"/>
    <m/>
    <n v="91.6"/>
  </r>
  <r>
    <x v="1314"/>
    <d v="2025-01-08T00:00:00"/>
    <x v="1"/>
    <x v="2"/>
    <x v="2"/>
    <x v="5"/>
    <x v="2"/>
    <n v="1"/>
    <n v="1"/>
    <n v="1"/>
    <n v="0"/>
    <n v="0"/>
    <n v="1"/>
    <n v="0"/>
    <m/>
    <n v="61.5"/>
  </r>
  <r>
    <x v="1315"/>
    <d v="2025-02-19T00:00:00"/>
    <x v="1"/>
    <x v="0"/>
    <x v="1"/>
    <x v="1"/>
    <x v="2"/>
    <n v="0"/>
    <n v="0"/>
    <n v="0"/>
    <n v="0"/>
    <n v="0"/>
    <n v="0"/>
    <n v="0"/>
    <m/>
    <m/>
  </r>
  <r>
    <x v="1316"/>
    <d v="2025-02-10T00:00:00"/>
    <x v="1"/>
    <x v="3"/>
    <x v="1"/>
    <x v="1"/>
    <x v="1"/>
    <n v="1"/>
    <n v="0"/>
    <n v="0"/>
    <n v="0"/>
    <n v="0"/>
    <n v="0"/>
    <n v="0"/>
    <m/>
    <n v="32.6"/>
  </r>
  <r>
    <x v="1317"/>
    <d v="2025-04-13T00:00:00"/>
    <x v="1"/>
    <x v="3"/>
    <x v="1"/>
    <x v="2"/>
    <x v="1"/>
    <n v="1"/>
    <n v="0"/>
    <n v="0"/>
    <n v="0"/>
    <n v="0"/>
    <n v="0"/>
    <n v="0"/>
    <m/>
    <n v="73.900000000000006"/>
  </r>
  <r>
    <x v="1318"/>
    <d v="2025-05-20T00:00:00"/>
    <x v="1"/>
    <x v="2"/>
    <x v="1"/>
    <x v="1"/>
    <x v="1"/>
    <n v="1"/>
    <n v="1"/>
    <n v="1"/>
    <n v="1"/>
    <n v="444.06"/>
    <n v="0"/>
    <n v="0"/>
    <n v="9"/>
    <n v="99.9"/>
  </r>
  <r>
    <x v="1319"/>
    <d v="2025-05-13T00:00:00"/>
    <x v="1"/>
    <x v="3"/>
    <x v="1"/>
    <x v="2"/>
    <x v="0"/>
    <n v="1"/>
    <n v="1"/>
    <n v="0"/>
    <n v="0"/>
    <n v="0"/>
    <n v="1"/>
    <n v="0"/>
    <m/>
    <n v="62.4"/>
  </r>
  <r>
    <x v="1320"/>
    <d v="2025-05-28T00:00:00"/>
    <x v="1"/>
    <x v="3"/>
    <x v="0"/>
    <x v="2"/>
    <x v="0"/>
    <n v="1"/>
    <n v="0"/>
    <n v="0"/>
    <n v="0"/>
    <n v="0"/>
    <n v="0"/>
    <n v="0"/>
    <m/>
    <n v="46.1"/>
  </r>
  <r>
    <x v="1321"/>
    <d v="2025-03-19T00:00:00"/>
    <x v="1"/>
    <x v="1"/>
    <x v="1"/>
    <x v="1"/>
    <x v="1"/>
    <n v="1"/>
    <n v="1"/>
    <n v="1"/>
    <n v="1"/>
    <n v="2660.21"/>
    <n v="0"/>
    <n v="0"/>
    <n v="3"/>
    <n v="73.900000000000006"/>
  </r>
  <r>
    <x v="1322"/>
    <d v="2025-02-03T00:00:00"/>
    <x v="1"/>
    <x v="0"/>
    <x v="1"/>
    <x v="0"/>
    <x v="2"/>
    <n v="0"/>
    <n v="0"/>
    <n v="0"/>
    <n v="0"/>
    <n v="0"/>
    <n v="0"/>
    <n v="0"/>
    <m/>
    <n v="90"/>
  </r>
  <r>
    <x v="1323"/>
    <d v="2025-02-26T00:00:00"/>
    <x v="1"/>
    <x v="3"/>
    <x v="1"/>
    <x v="0"/>
    <x v="0"/>
    <n v="1"/>
    <n v="0"/>
    <n v="0"/>
    <n v="0"/>
    <n v="0"/>
    <n v="1"/>
    <n v="0"/>
    <m/>
    <n v="68.8"/>
  </r>
  <r>
    <x v="1324"/>
    <d v="2025-01-26T00:00:00"/>
    <x v="1"/>
    <x v="1"/>
    <x v="1"/>
    <x v="2"/>
    <x v="1"/>
    <n v="1"/>
    <n v="0"/>
    <n v="0"/>
    <n v="0"/>
    <n v="0"/>
    <n v="0"/>
    <n v="0"/>
    <m/>
    <n v="66.599999999999994"/>
  </r>
  <r>
    <x v="1325"/>
    <d v="2025-05-13T00:00:00"/>
    <x v="1"/>
    <x v="0"/>
    <x v="1"/>
    <x v="1"/>
    <x v="2"/>
    <n v="1"/>
    <n v="0"/>
    <n v="0"/>
    <n v="0"/>
    <n v="0"/>
    <n v="0"/>
    <n v="0"/>
    <m/>
    <n v="49.7"/>
  </r>
  <r>
    <x v="1326"/>
    <d v="2025-02-02T00:00:00"/>
    <x v="1"/>
    <x v="3"/>
    <x v="1"/>
    <x v="2"/>
    <x v="0"/>
    <n v="0"/>
    <n v="0"/>
    <n v="0"/>
    <n v="0"/>
    <n v="0"/>
    <n v="0"/>
    <n v="0"/>
    <m/>
    <n v="67.900000000000006"/>
  </r>
  <r>
    <x v="1327"/>
    <d v="2025-04-30T00:00:00"/>
    <x v="1"/>
    <x v="1"/>
    <x v="1"/>
    <x v="5"/>
    <x v="0"/>
    <n v="0"/>
    <n v="0"/>
    <n v="0"/>
    <n v="0"/>
    <n v="0"/>
    <n v="0"/>
    <n v="0"/>
    <m/>
    <n v="66.900000000000006"/>
  </r>
  <r>
    <x v="1328"/>
    <d v="2025-03-29T00:00:00"/>
    <x v="1"/>
    <x v="2"/>
    <x v="1"/>
    <x v="1"/>
    <x v="1"/>
    <n v="0"/>
    <n v="0"/>
    <n v="0"/>
    <n v="0"/>
    <n v="0"/>
    <n v="0"/>
    <n v="0"/>
    <m/>
    <n v="46.1"/>
  </r>
  <r>
    <x v="1329"/>
    <d v="2025-04-09T00:00:00"/>
    <x v="1"/>
    <x v="1"/>
    <x v="0"/>
    <x v="3"/>
    <x v="2"/>
    <n v="1"/>
    <n v="0"/>
    <n v="0"/>
    <n v="0"/>
    <n v="0"/>
    <n v="0"/>
    <n v="0"/>
    <m/>
    <n v="85.6"/>
  </r>
  <r>
    <x v="1330"/>
    <d v="2025-01-22T00:00:00"/>
    <x v="1"/>
    <x v="3"/>
    <x v="2"/>
    <x v="1"/>
    <x v="1"/>
    <n v="0"/>
    <n v="0"/>
    <n v="0"/>
    <n v="0"/>
    <n v="0"/>
    <n v="0"/>
    <n v="0"/>
    <m/>
    <n v="39.6"/>
  </r>
  <r>
    <x v="1331"/>
    <d v="2025-01-27T00:00:00"/>
    <x v="1"/>
    <x v="3"/>
    <x v="1"/>
    <x v="1"/>
    <x v="0"/>
    <n v="1"/>
    <n v="0"/>
    <n v="0"/>
    <n v="0"/>
    <n v="0"/>
    <n v="0"/>
    <n v="0"/>
    <m/>
    <n v="52.5"/>
  </r>
  <r>
    <x v="1332"/>
    <d v="2025-01-22T00:00:00"/>
    <x v="1"/>
    <x v="2"/>
    <x v="1"/>
    <x v="4"/>
    <x v="2"/>
    <n v="1"/>
    <n v="0"/>
    <n v="0"/>
    <n v="0"/>
    <n v="0"/>
    <n v="0"/>
    <n v="0"/>
    <m/>
    <n v="73.5"/>
  </r>
  <r>
    <x v="1333"/>
    <d v="2025-01-06T00:00:00"/>
    <x v="1"/>
    <x v="1"/>
    <x v="0"/>
    <x v="2"/>
    <x v="1"/>
    <n v="0"/>
    <n v="0"/>
    <n v="0"/>
    <n v="0"/>
    <n v="0"/>
    <n v="0"/>
    <n v="0"/>
    <m/>
    <n v="62.5"/>
  </r>
  <r>
    <x v="1334"/>
    <d v="2025-04-16T00:00:00"/>
    <x v="1"/>
    <x v="3"/>
    <x v="3"/>
    <x v="1"/>
    <x v="1"/>
    <n v="1"/>
    <n v="0"/>
    <n v="0"/>
    <n v="0"/>
    <n v="0"/>
    <n v="0"/>
    <n v="0"/>
    <m/>
    <n v="76.900000000000006"/>
  </r>
  <r>
    <x v="1335"/>
    <d v="2025-04-14T00:00:00"/>
    <x v="1"/>
    <x v="3"/>
    <x v="1"/>
    <x v="1"/>
    <x v="1"/>
    <n v="1"/>
    <n v="0"/>
    <n v="0"/>
    <n v="0"/>
    <n v="0"/>
    <n v="0"/>
    <n v="0"/>
    <m/>
    <n v="51.4"/>
  </r>
  <r>
    <x v="1336"/>
    <d v="2025-02-22T00:00:00"/>
    <x v="1"/>
    <x v="1"/>
    <x v="1"/>
    <x v="2"/>
    <x v="0"/>
    <n v="1"/>
    <n v="0"/>
    <n v="0"/>
    <n v="0"/>
    <n v="0"/>
    <n v="0"/>
    <n v="0"/>
    <m/>
    <n v="59.3"/>
  </r>
  <r>
    <x v="1337"/>
    <d v="2025-03-09T00:00:00"/>
    <x v="1"/>
    <x v="0"/>
    <x v="1"/>
    <x v="1"/>
    <x v="0"/>
    <n v="0"/>
    <n v="0"/>
    <n v="0"/>
    <n v="0"/>
    <n v="0"/>
    <n v="0"/>
    <n v="0"/>
    <m/>
    <n v="74.900000000000006"/>
  </r>
  <r>
    <x v="1338"/>
    <d v="2025-04-20T00:00:00"/>
    <x v="1"/>
    <x v="1"/>
    <x v="0"/>
    <x v="1"/>
    <x v="1"/>
    <n v="1"/>
    <n v="0"/>
    <n v="0"/>
    <n v="0"/>
    <n v="0"/>
    <n v="0"/>
    <n v="0"/>
    <m/>
    <n v="67"/>
  </r>
  <r>
    <x v="1339"/>
    <d v="2025-03-10T00:00:00"/>
    <x v="1"/>
    <x v="3"/>
    <x v="1"/>
    <x v="0"/>
    <x v="1"/>
    <n v="0"/>
    <n v="0"/>
    <n v="0"/>
    <n v="0"/>
    <n v="0"/>
    <n v="0"/>
    <n v="0"/>
    <m/>
    <n v="63.6"/>
  </r>
  <r>
    <x v="1340"/>
    <d v="2025-02-21T00:00:00"/>
    <x v="1"/>
    <x v="3"/>
    <x v="1"/>
    <x v="0"/>
    <x v="1"/>
    <n v="1"/>
    <n v="1"/>
    <n v="0"/>
    <n v="0"/>
    <n v="0"/>
    <n v="1"/>
    <n v="0"/>
    <m/>
    <n v="58.4"/>
  </r>
  <r>
    <x v="1341"/>
    <d v="2025-01-06T00:00:00"/>
    <x v="1"/>
    <x v="0"/>
    <x v="0"/>
    <x v="4"/>
    <x v="1"/>
    <n v="1"/>
    <n v="0"/>
    <n v="0"/>
    <n v="0"/>
    <n v="0"/>
    <n v="0"/>
    <n v="0"/>
    <m/>
    <n v="36.799999999999997"/>
  </r>
  <r>
    <x v="1342"/>
    <d v="2025-04-17T00:00:00"/>
    <x v="1"/>
    <x v="3"/>
    <x v="1"/>
    <x v="1"/>
    <x v="2"/>
    <n v="1"/>
    <n v="0"/>
    <n v="0"/>
    <n v="0"/>
    <n v="0"/>
    <n v="0"/>
    <n v="0"/>
    <m/>
    <n v="71.599999999999994"/>
  </r>
  <r>
    <x v="1343"/>
    <d v="2025-05-23T00:00:00"/>
    <x v="1"/>
    <x v="3"/>
    <x v="1"/>
    <x v="0"/>
    <x v="0"/>
    <n v="1"/>
    <n v="1"/>
    <n v="0"/>
    <n v="0"/>
    <n v="0"/>
    <n v="1"/>
    <n v="0"/>
    <m/>
    <n v="79.7"/>
  </r>
  <r>
    <x v="1344"/>
    <d v="2025-03-14T00:00:00"/>
    <x v="1"/>
    <x v="1"/>
    <x v="0"/>
    <x v="1"/>
    <x v="0"/>
    <n v="1"/>
    <n v="0"/>
    <n v="0"/>
    <n v="0"/>
    <n v="0"/>
    <n v="1"/>
    <n v="0"/>
    <m/>
    <n v="56.5"/>
  </r>
  <r>
    <x v="1345"/>
    <d v="2025-04-21T00:00:00"/>
    <x v="1"/>
    <x v="0"/>
    <x v="1"/>
    <x v="4"/>
    <x v="2"/>
    <n v="1"/>
    <n v="0"/>
    <n v="0"/>
    <n v="0"/>
    <n v="0"/>
    <n v="0"/>
    <n v="0"/>
    <m/>
    <n v="44.7"/>
  </r>
  <r>
    <x v="1346"/>
    <d v="2025-01-03T00:00:00"/>
    <x v="1"/>
    <x v="3"/>
    <x v="1"/>
    <x v="4"/>
    <x v="1"/>
    <n v="1"/>
    <n v="1"/>
    <n v="1"/>
    <n v="0"/>
    <n v="0"/>
    <n v="1"/>
    <n v="0"/>
    <m/>
    <n v="66"/>
  </r>
  <r>
    <x v="1347"/>
    <d v="2025-05-09T00:00:00"/>
    <x v="1"/>
    <x v="0"/>
    <x v="0"/>
    <x v="1"/>
    <x v="0"/>
    <n v="1"/>
    <n v="0"/>
    <n v="0"/>
    <n v="0"/>
    <n v="0"/>
    <n v="0"/>
    <n v="0"/>
    <m/>
    <n v="73"/>
  </r>
  <r>
    <x v="1348"/>
    <d v="2025-05-22T00:00:00"/>
    <x v="1"/>
    <x v="3"/>
    <x v="1"/>
    <x v="1"/>
    <x v="0"/>
    <n v="1"/>
    <n v="1"/>
    <n v="1"/>
    <n v="0"/>
    <n v="0"/>
    <n v="1"/>
    <n v="0"/>
    <m/>
    <n v="72.5"/>
  </r>
  <r>
    <x v="1349"/>
    <d v="2025-05-07T00:00:00"/>
    <x v="1"/>
    <x v="3"/>
    <x v="0"/>
    <x v="2"/>
    <x v="1"/>
    <n v="1"/>
    <n v="1"/>
    <n v="1"/>
    <n v="1"/>
    <n v="323.60000000000002"/>
    <n v="0"/>
    <n v="0"/>
    <n v="6"/>
    <n v="100"/>
  </r>
  <r>
    <x v="1350"/>
    <d v="2025-02-08T00:00:00"/>
    <x v="1"/>
    <x v="2"/>
    <x v="1"/>
    <x v="4"/>
    <x v="1"/>
    <n v="0"/>
    <n v="0"/>
    <n v="0"/>
    <n v="0"/>
    <n v="0"/>
    <n v="1"/>
    <n v="0"/>
    <m/>
    <n v="90.5"/>
  </r>
  <r>
    <x v="1351"/>
    <d v="2025-04-03T00:00:00"/>
    <x v="1"/>
    <x v="0"/>
    <x v="2"/>
    <x v="4"/>
    <x v="0"/>
    <n v="1"/>
    <n v="0"/>
    <n v="0"/>
    <n v="0"/>
    <n v="0"/>
    <n v="0"/>
    <n v="0"/>
    <m/>
    <n v="70.2"/>
  </r>
  <r>
    <x v="1352"/>
    <d v="2025-04-17T00:00:00"/>
    <x v="1"/>
    <x v="2"/>
    <x v="0"/>
    <x v="2"/>
    <x v="1"/>
    <n v="1"/>
    <n v="0"/>
    <n v="0"/>
    <n v="0"/>
    <n v="0"/>
    <n v="1"/>
    <n v="0"/>
    <m/>
    <n v="67.099999999999994"/>
  </r>
  <r>
    <x v="1353"/>
    <d v="2025-05-04T00:00:00"/>
    <x v="1"/>
    <x v="2"/>
    <x v="1"/>
    <x v="1"/>
    <x v="1"/>
    <n v="0"/>
    <n v="0"/>
    <n v="0"/>
    <n v="0"/>
    <n v="0"/>
    <n v="0"/>
    <n v="0"/>
    <m/>
    <n v="54.5"/>
  </r>
  <r>
    <x v="1354"/>
    <d v="2025-05-11T00:00:00"/>
    <x v="1"/>
    <x v="1"/>
    <x v="0"/>
    <x v="1"/>
    <x v="1"/>
    <n v="1"/>
    <n v="0"/>
    <n v="0"/>
    <n v="0"/>
    <n v="0"/>
    <n v="0"/>
    <n v="0"/>
    <m/>
    <n v="63.4"/>
  </r>
  <r>
    <x v="1355"/>
    <d v="2025-03-01T00:00:00"/>
    <x v="1"/>
    <x v="0"/>
    <x v="0"/>
    <x v="5"/>
    <x v="1"/>
    <n v="1"/>
    <n v="1"/>
    <n v="1"/>
    <n v="0"/>
    <n v="0"/>
    <n v="0"/>
    <n v="0"/>
    <m/>
    <n v="84.3"/>
  </r>
  <r>
    <x v="1356"/>
    <d v="2025-02-20T00:00:00"/>
    <x v="1"/>
    <x v="1"/>
    <x v="0"/>
    <x v="1"/>
    <x v="1"/>
    <n v="1"/>
    <n v="0"/>
    <n v="0"/>
    <n v="0"/>
    <n v="0"/>
    <n v="1"/>
    <n v="0"/>
    <m/>
    <n v="55"/>
  </r>
  <r>
    <x v="1357"/>
    <d v="2025-05-09T00:00:00"/>
    <x v="1"/>
    <x v="1"/>
    <x v="1"/>
    <x v="4"/>
    <x v="1"/>
    <n v="1"/>
    <n v="0"/>
    <n v="0"/>
    <n v="0"/>
    <n v="0"/>
    <n v="0"/>
    <n v="0"/>
    <m/>
    <n v="63.6"/>
  </r>
  <r>
    <x v="1358"/>
    <d v="2025-04-30T00:00:00"/>
    <x v="1"/>
    <x v="1"/>
    <x v="1"/>
    <x v="1"/>
    <x v="1"/>
    <n v="1"/>
    <n v="0"/>
    <n v="0"/>
    <n v="0"/>
    <n v="0"/>
    <n v="0"/>
    <n v="0"/>
    <m/>
    <n v="55.5"/>
  </r>
  <r>
    <x v="1359"/>
    <d v="2025-01-07T00:00:00"/>
    <x v="1"/>
    <x v="3"/>
    <x v="1"/>
    <x v="4"/>
    <x v="0"/>
    <n v="0"/>
    <n v="0"/>
    <n v="0"/>
    <n v="0"/>
    <n v="0"/>
    <n v="0"/>
    <n v="0"/>
    <m/>
    <n v="50.5"/>
  </r>
  <r>
    <x v="1360"/>
    <d v="2025-04-30T00:00:00"/>
    <x v="1"/>
    <x v="0"/>
    <x v="1"/>
    <x v="4"/>
    <x v="0"/>
    <n v="1"/>
    <n v="0"/>
    <n v="0"/>
    <n v="0"/>
    <n v="0"/>
    <n v="0"/>
    <n v="0"/>
    <m/>
    <n v="45.3"/>
  </r>
  <r>
    <x v="1361"/>
    <d v="2025-05-23T00:00:00"/>
    <x v="1"/>
    <x v="2"/>
    <x v="1"/>
    <x v="1"/>
    <x v="0"/>
    <n v="1"/>
    <n v="0"/>
    <n v="0"/>
    <n v="0"/>
    <n v="0"/>
    <n v="0"/>
    <n v="0"/>
    <m/>
    <n v="33.6"/>
  </r>
  <r>
    <x v="1362"/>
    <d v="2025-03-12T00:00:00"/>
    <x v="1"/>
    <x v="3"/>
    <x v="1"/>
    <x v="2"/>
    <x v="2"/>
    <n v="1"/>
    <n v="1"/>
    <n v="1"/>
    <n v="0"/>
    <n v="0"/>
    <n v="0"/>
    <n v="0"/>
    <m/>
    <n v="88.2"/>
  </r>
  <r>
    <x v="1363"/>
    <d v="2025-02-17T00:00:00"/>
    <x v="1"/>
    <x v="0"/>
    <x v="1"/>
    <x v="1"/>
    <x v="2"/>
    <n v="1"/>
    <n v="0"/>
    <n v="0"/>
    <n v="0"/>
    <n v="0"/>
    <n v="0"/>
    <n v="0"/>
    <m/>
    <n v="51.8"/>
  </r>
  <r>
    <x v="1364"/>
    <d v="2025-05-27T00:00:00"/>
    <x v="1"/>
    <x v="0"/>
    <x v="0"/>
    <x v="1"/>
    <x v="0"/>
    <n v="0"/>
    <n v="0"/>
    <n v="0"/>
    <n v="0"/>
    <n v="0"/>
    <n v="0"/>
    <n v="0"/>
    <m/>
    <n v="87.9"/>
  </r>
  <r>
    <x v="1365"/>
    <d v="2025-05-10T00:00:00"/>
    <x v="1"/>
    <x v="3"/>
    <x v="1"/>
    <x v="4"/>
    <x v="2"/>
    <n v="1"/>
    <n v="0"/>
    <n v="0"/>
    <n v="0"/>
    <n v="0"/>
    <n v="2"/>
    <n v="0"/>
    <m/>
    <n v="70.5"/>
  </r>
  <r>
    <x v="1366"/>
    <d v="2025-01-20T00:00:00"/>
    <x v="1"/>
    <x v="0"/>
    <x v="1"/>
    <x v="1"/>
    <x v="0"/>
    <n v="1"/>
    <n v="1"/>
    <n v="0"/>
    <n v="0"/>
    <n v="0"/>
    <n v="2"/>
    <n v="0"/>
    <m/>
    <n v="58.5"/>
  </r>
  <r>
    <x v="1367"/>
    <d v="2025-01-19T00:00:00"/>
    <x v="1"/>
    <x v="2"/>
    <x v="1"/>
    <x v="3"/>
    <x v="1"/>
    <n v="1"/>
    <n v="0"/>
    <n v="0"/>
    <n v="0"/>
    <n v="0"/>
    <n v="0"/>
    <n v="0"/>
    <m/>
    <n v="65.599999999999994"/>
  </r>
  <r>
    <x v="1368"/>
    <d v="2025-03-07T00:00:00"/>
    <x v="1"/>
    <x v="1"/>
    <x v="0"/>
    <x v="2"/>
    <x v="0"/>
    <n v="1"/>
    <n v="1"/>
    <n v="0"/>
    <n v="0"/>
    <n v="0"/>
    <n v="0"/>
    <n v="0"/>
    <m/>
    <n v="62.7"/>
  </r>
  <r>
    <x v="1369"/>
    <d v="2025-02-02T00:00:00"/>
    <x v="1"/>
    <x v="2"/>
    <x v="1"/>
    <x v="1"/>
    <x v="1"/>
    <n v="0"/>
    <n v="0"/>
    <n v="0"/>
    <n v="0"/>
    <n v="0"/>
    <n v="1"/>
    <n v="0"/>
    <m/>
    <n v="50.9"/>
  </r>
  <r>
    <x v="1370"/>
    <d v="2025-03-07T00:00:00"/>
    <x v="1"/>
    <x v="0"/>
    <x v="1"/>
    <x v="1"/>
    <x v="1"/>
    <n v="0"/>
    <n v="0"/>
    <n v="0"/>
    <n v="0"/>
    <n v="0"/>
    <n v="1"/>
    <n v="0"/>
    <m/>
    <n v="60.6"/>
  </r>
  <r>
    <x v="1371"/>
    <d v="2025-03-30T00:00:00"/>
    <x v="1"/>
    <x v="2"/>
    <x v="0"/>
    <x v="1"/>
    <x v="1"/>
    <n v="1"/>
    <n v="1"/>
    <n v="1"/>
    <n v="0"/>
    <n v="0"/>
    <n v="0"/>
    <n v="0"/>
    <m/>
    <n v="76.599999999999994"/>
  </r>
  <r>
    <x v="1372"/>
    <d v="2025-05-05T00:00:00"/>
    <x v="1"/>
    <x v="2"/>
    <x v="0"/>
    <x v="2"/>
    <x v="1"/>
    <n v="1"/>
    <n v="1"/>
    <n v="1"/>
    <n v="0"/>
    <n v="0"/>
    <n v="0"/>
    <n v="0"/>
    <m/>
    <n v="54.4"/>
  </r>
  <r>
    <x v="1373"/>
    <d v="2025-04-11T00:00:00"/>
    <x v="1"/>
    <x v="3"/>
    <x v="1"/>
    <x v="4"/>
    <x v="1"/>
    <n v="1"/>
    <n v="0"/>
    <n v="0"/>
    <n v="0"/>
    <n v="0"/>
    <n v="0"/>
    <n v="0"/>
    <m/>
    <n v="31.2"/>
  </r>
  <r>
    <x v="1374"/>
    <d v="2025-03-25T00:00:00"/>
    <x v="1"/>
    <x v="1"/>
    <x v="0"/>
    <x v="0"/>
    <x v="2"/>
    <n v="1"/>
    <n v="0"/>
    <n v="0"/>
    <n v="0"/>
    <n v="0"/>
    <n v="0"/>
    <n v="0"/>
    <m/>
    <n v="72.400000000000006"/>
  </r>
  <r>
    <x v="1375"/>
    <d v="2025-03-24T00:00:00"/>
    <x v="1"/>
    <x v="0"/>
    <x v="1"/>
    <x v="1"/>
    <x v="2"/>
    <n v="1"/>
    <n v="0"/>
    <n v="0"/>
    <n v="0"/>
    <n v="0"/>
    <n v="0"/>
    <n v="0"/>
    <m/>
    <n v="74.5"/>
  </r>
  <r>
    <x v="1376"/>
    <d v="2025-04-27T00:00:00"/>
    <x v="1"/>
    <x v="2"/>
    <x v="1"/>
    <x v="1"/>
    <x v="0"/>
    <n v="0"/>
    <n v="0"/>
    <n v="0"/>
    <n v="0"/>
    <n v="0"/>
    <n v="0"/>
    <n v="0"/>
    <m/>
    <n v="52.6"/>
  </r>
  <r>
    <x v="1377"/>
    <d v="2025-01-25T00:00:00"/>
    <x v="1"/>
    <x v="0"/>
    <x v="0"/>
    <x v="2"/>
    <x v="1"/>
    <n v="1"/>
    <n v="0"/>
    <n v="0"/>
    <n v="0"/>
    <n v="0"/>
    <n v="0"/>
    <n v="0"/>
    <m/>
    <n v="75.400000000000006"/>
  </r>
  <r>
    <x v="1378"/>
    <d v="2025-02-17T00:00:00"/>
    <x v="1"/>
    <x v="0"/>
    <x v="2"/>
    <x v="4"/>
    <x v="0"/>
    <n v="1"/>
    <n v="1"/>
    <n v="1"/>
    <n v="1"/>
    <n v="751.33"/>
    <n v="0"/>
    <n v="0"/>
    <n v="9"/>
    <n v="34"/>
  </r>
  <r>
    <x v="1379"/>
    <d v="2025-04-13T00:00:00"/>
    <x v="1"/>
    <x v="3"/>
    <x v="0"/>
    <x v="1"/>
    <x v="1"/>
    <n v="1"/>
    <n v="0"/>
    <n v="0"/>
    <n v="0"/>
    <n v="0"/>
    <n v="0"/>
    <n v="0"/>
    <m/>
    <n v="67.099999999999994"/>
  </r>
  <r>
    <x v="1380"/>
    <d v="2025-05-03T00:00:00"/>
    <x v="1"/>
    <x v="1"/>
    <x v="0"/>
    <x v="2"/>
    <x v="2"/>
    <n v="1"/>
    <n v="0"/>
    <n v="0"/>
    <n v="0"/>
    <n v="0"/>
    <n v="0"/>
    <n v="0"/>
    <m/>
    <n v="37.299999999999997"/>
  </r>
  <r>
    <x v="1381"/>
    <d v="2025-04-29T00:00:00"/>
    <x v="1"/>
    <x v="1"/>
    <x v="1"/>
    <x v="0"/>
    <x v="1"/>
    <n v="1"/>
    <n v="0"/>
    <n v="0"/>
    <n v="0"/>
    <n v="0"/>
    <n v="0"/>
    <n v="0"/>
    <m/>
    <n v="54.7"/>
  </r>
  <r>
    <x v="1382"/>
    <d v="2025-05-03T00:00:00"/>
    <x v="1"/>
    <x v="2"/>
    <x v="0"/>
    <x v="2"/>
    <x v="1"/>
    <n v="1"/>
    <n v="0"/>
    <n v="0"/>
    <n v="0"/>
    <n v="0"/>
    <n v="0"/>
    <n v="0"/>
    <m/>
    <n v="51.8"/>
  </r>
  <r>
    <x v="1383"/>
    <d v="2025-04-28T00:00:00"/>
    <x v="1"/>
    <x v="1"/>
    <x v="1"/>
    <x v="2"/>
    <x v="1"/>
    <n v="0"/>
    <n v="0"/>
    <n v="0"/>
    <n v="0"/>
    <n v="0"/>
    <n v="0"/>
    <n v="0"/>
    <m/>
    <n v="49.2"/>
  </r>
  <r>
    <x v="1384"/>
    <d v="2025-01-21T00:00:00"/>
    <x v="1"/>
    <x v="1"/>
    <x v="1"/>
    <x v="1"/>
    <x v="1"/>
    <n v="1"/>
    <n v="0"/>
    <n v="0"/>
    <n v="0"/>
    <n v="0"/>
    <n v="2"/>
    <n v="0"/>
    <m/>
    <n v="58.8"/>
  </r>
  <r>
    <x v="1385"/>
    <d v="2025-01-21T00:00:00"/>
    <x v="1"/>
    <x v="0"/>
    <x v="2"/>
    <x v="2"/>
    <x v="0"/>
    <n v="0"/>
    <n v="0"/>
    <n v="0"/>
    <n v="0"/>
    <n v="0"/>
    <n v="1"/>
    <n v="0"/>
    <m/>
    <n v="59.1"/>
  </r>
  <r>
    <x v="1386"/>
    <d v="2025-05-21T00:00:00"/>
    <x v="1"/>
    <x v="1"/>
    <x v="0"/>
    <x v="2"/>
    <x v="1"/>
    <n v="1"/>
    <n v="0"/>
    <n v="0"/>
    <n v="0"/>
    <n v="0"/>
    <n v="2"/>
    <n v="0"/>
    <m/>
    <n v="49.6"/>
  </r>
  <r>
    <x v="1387"/>
    <d v="2025-01-05T00:00:00"/>
    <x v="1"/>
    <x v="0"/>
    <x v="1"/>
    <x v="3"/>
    <x v="1"/>
    <n v="0"/>
    <n v="0"/>
    <n v="0"/>
    <n v="0"/>
    <n v="0"/>
    <n v="0"/>
    <n v="0"/>
    <m/>
    <n v="58.2"/>
  </r>
  <r>
    <x v="1388"/>
    <d v="2025-03-06T00:00:00"/>
    <x v="1"/>
    <x v="3"/>
    <x v="0"/>
    <x v="1"/>
    <x v="1"/>
    <n v="1"/>
    <n v="0"/>
    <n v="0"/>
    <n v="0"/>
    <n v="0"/>
    <n v="0"/>
    <n v="0"/>
    <m/>
    <n v="66.8"/>
  </r>
  <r>
    <x v="1389"/>
    <d v="2025-04-18T00:00:00"/>
    <x v="1"/>
    <x v="0"/>
    <x v="1"/>
    <x v="2"/>
    <x v="1"/>
    <n v="1"/>
    <n v="0"/>
    <n v="0"/>
    <n v="0"/>
    <n v="0"/>
    <n v="3"/>
    <n v="0"/>
    <m/>
    <n v="58.3"/>
  </r>
  <r>
    <x v="1390"/>
    <d v="2025-04-15T00:00:00"/>
    <x v="1"/>
    <x v="1"/>
    <x v="1"/>
    <x v="1"/>
    <x v="0"/>
    <n v="1"/>
    <n v="1"/>
    <n v="1"/>
    <n v="0"/>
    <n v="0"/>
    <n v="0"/>
    <n v="0"/>
    <m/>
    <n v="38.5"/>
  </r>
  <r>
    <x v="1391"/>
    <d v="2025-02-10T00:00:00"/>
    <x v="1"/>
    <x v="2"/>
    <x v="1"/>
    <x v="2"/>
    <x v="1"/>
    <n v="1"/>
    <n v="0"/>
    <n v="0"/>
    <n v="0"/>
    <n v="0"/>
    <n v="0"/>
    <n v="0"/>
    <m/>
    <n v="76.900000000000006"/>
  </r>
  <r>
    <x v="1392"/>
    <d v="2025-05-08T00:00:00"/>
    <x v="1"/>
    <x v="2"/>
    <x v="1"/>
    <x v="1"/>
    <x v="1"/>
    <n v="1"/>
    <n v="0"/>
    <n v="0"/>
    <n v="0"/>
    <n v="0"/>
    <n v="0"/>
    <n v="0"/>
    <m/>
    <n v="54"/>
  </r>
  <r>
    <x v="1393"/>
    <d v="2025-05-28T00:00:00"/>
    <x v="1"/>
    <x v="2"/>
    <x v="2"/>
    <x v="1"/>
    <x v="1"/>
    <n v="1"/>
    <n v="0"/>
    <n v="0"/>
    <n v="0"/>
    <n v="0"/>
    <n v="0"/>
    <n v="0"/>
    <m/>
    <n v="70.599999999999994"/>
  </r>
  <r>
    <x v="1394"/>
    <d v="2025-04-25T00:00:00"/>
    <x v="1"/>
    <x v="0"/>
    <x v="2"/>
    <x v="3"/>
    <x v="2"/>
    <n v="1"/>
    <n v="1"/>
    <n v="1"/>
    <n v="0"/>
    <n v="0"/>
    <n v="1"/>
    <n v="0"/>
    <m/>
    <n v="69.400000000000006"/>
  </r>
  <r>
    <x v="1395"/>
    <d v="2025-02-11T00:00:00"/>
    <x v="1"/>
    <x v="3"/>
    <x v="1"/>
    <x v="5"/>
    <x v="2"/>
    <n v="1"/>
    <n v="1"/>
    <n v="1"/>
    <n v="1"/>
    <n v="1009.9"/>
    <n v="0"/>
    <n v="0"/>
    <n v="6"/>
    <n v="89.7"/>
  </r>
  <r>
    <x v="1396"/>
    <d v="2025-04-14T00:00:00"/>
    <x v="1"/>
    <x v="1"/>
    <x v="1"/>
    <x v="1"/>
    <x v="1"/>
    <n v="1"/>
    <n v="0"/>
    <n v="0"/>
    <n v="0"/>
    <n v="0"/>
    <n v="0"/>
    <n v="0"/>
    <m/>
    <n v="62.4"/>
  </r>
  <r>
    <x v="1397"/>
    <d v="2025-02-04T00:00:00"/>
    <x v="1"/>
    <x v="1"/>
    <x v="2"/>
    <x v="1"/>
    <x v="2"/>
    <n v="0"/>
    <n v="0"/>
    <n v="0"/>
    <n v="0"/>
    <n v="0"/>
    <n v="0"/>
    <n v="0"/>
    <m/>
    <n v="67.3"/>
  </r>
  <r>
    <x v="1398"/>
    <d v="2025-03-22T00:00:00"/>
    <x v="1"/>
    <x v="2"/>
    <x v="1"/>
    <x v="3"/>
    <x v="1"/>
    <n v="1"/>
    <n v="0"/>
    <n v="0"/>
    <n v="0"/>
    <n v="0"/>
    <n v="0"/>
    <n v="0"/>
    <m/>
    <n v="54.9"/>
  </r>
  <r>
    <x v="1399"/>
    <d v="2025-04-18T00:00:00"/>
    <x v="1"/>
    <x v="2"/>
    <x v="0"/>
    <x v="4"/>
    <x v="1"/>
    <n v="0"/>
    <n v="0"/>
    <n v="0"/>
    <n v="0"/>
    <n v="0"/>
    <n v="0"/>
    <n v="0"/>
    <m/>
    <n v="5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9861A5-8A0E-4979-B0F8-7FC00680056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D0BE8-8D34-4BF1-99AD-F669DCB7702E}" name="PivotTable7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8:K23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BE2FE-5F0A-4575-B5F3-3AC6C6B88065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K11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B58C1-2205-46B9-9944-73483B9FA368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D19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82C77-1ECC-422E-BBB2-5498FC146AE2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6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2B646-7A85-4867-B85F-25E0181CA9EE}" name="Table1" displayName="Table1" ref="A2:C13" headerRowDxfId="7" dataDxfId="5" totalsRowDxfId="6">
  <autoFilter ref="A2:C13" xr:uid="{EA92B646-7A85-4867-B85F-25E0181CA9EE}">
    <filterColumn colId="0" hiddenButton="1"/>
    <filterColumn colId="1" hiddenButton="1"/>
    <filterColumn colId="2" hiddenButton="1"/>
  </autoFilter>
  <tableColumns count="3">
    <tableColumn id="1" xr3:uid="{C6A5798D-784F-40BB-A358-7D33D5B7A1A9}" name="Metric" totalsRowLabel="Total" dataDxfId="10" totalsRowDxfId="12"/>
    <tableColumn id="2" xr3:uid="{775FA719-33DA-4987-A1E8-9473E3A1800A}" name="Control" dataDxfId="9">
      <calculatedColumnFormula>COUNTIF(experiment_data!$C:$C,"Control")</calculatedColumnFormula>
    </tableColumn>
    <tableColumn id="3" xr3:uid="{F5E7C6F0-8A0A-4CCB-A096-2628686F61CB}" name="Treatment" totalsRowFunction="count" dataDxfId="8">
      <calculatedColumnFormula>COUNTIFS(experiment_data!$C:$C,"Treatment",experiment_data!$H:$H,1)/COUNTIF(experiment_data!$C:$C,"Control")</calculatedColumnFormula>
    </tableColumn>
  </tableColumns>
  <tableStyleInfo name="TableStyleMedium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821EC2-5E72-48DA-86FA-C4E2F38E7DFD}" name="Table2" displayName="Table2" ref="A2:C4" totalsRowShown="0">
  <autoFilter ref="A2:C4" xr:uid="{27821EC2-5E72-48DA-86FA-C4E2F38E7DFD}">
    <filterColumn colId="0" hiddenButton="1"/>
    <filterColumn colId="1" hiddenButton="1"/>
    <filterColumn colId="2" hiddenButton="1"/>
  </autoFilter>
  <tableColumns count="3">
    <tableColumn id="1" xr3:uid="{A75E055A-1868-41F4-ACBF-D9BB8B5C55B5}" name="Item" dataDxfId="4"/>
    <tableColumn id="2" xr3:uid="{9F490643-BDE5-44CD-8C00-B4966CAE96D3}" name="Control" dataDxfId="3"/>
    <tableColumn id="3" xr3:uid="{9C62FB1A-DB72-4A32-BDCD-5E14FF654FDF}" name="Treatment" dataDxfId="2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3AFD6-48ED-40B9-A998-B8384F4EF72C}" name="Table3" displayName="Table3" ref="F2:G12" totalsRowShown="0">
  <autoFilter ref="F2:G12" xr:uid="{AE53AFD6-48ED-40B9-A998-B8384F4EF72C}">
    <filterColumn colId="0" hiddenButton="1"/>
    <filterColumn colId="1" hiddenButton="1"/>
  </autoFilter>
  <tableColumns count="2">
    <tableColumn id="1" xr3:uid="{1AF8A214-B1EE-42C8-8D07-18DE3F73ED33}" name="Item" dataDxfId="1"/>
    <tableColumn id="2" xr3:uid="{DD041302-CE8F-4BA0-BFD4-62FF593474B9}" name="Value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D05C-E2FE-4B78-A8B5-69128F50CF51}">
  <dimension ref="A3:B6"/>
  <sheetViews>
    <sheetView workbookViewId="0">
      <selection activeCell="A4" sqref="A4:B5"/>
    </sheetView>
  </sheetViews>
  <sheetFormatPr defaultRowHeight="13.8"/>
  <cols>
    <col min="1" max="1" width="13.09765625" bestFit="1" customWidth="1"/>
    <col min="2" max="2" width="15.3984375" bestFit="1" customWidth="1"/>
  </cols>
  <sheetData>
    <row r="3" spans="1:2">
      <c r="A3" s="4" t="s">
        <v>1451</v>
      </c>
      <c r="B3" t="s">
        <v>1453</v>
      </c>
    </row>
    <row r="4" spans="1:2">
      <c r="A4" s="5" t="s">
        <v>17</v>
      </c>
      <c r="B4" s="6">
        <v>693</v>
      </c>
    </row>
    <row r="5" spans="1:2">
      <c r="A5" s="5" t="s">
        <v>723</v>
      </c>
      <c r="B5" s="6">
        <v>715</v>
      </c>
    </row>
    <row r="6" spans="1:2">
      <c r="A6" s="5" t="s">
        <v>1452</v>
      </c>
      <c r="B6" s="6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C54DB-81FD-4C8E-AA9D-EA6D1F610EC4}">
  <dimension ref="A3:K23"/>
  <sheetViews>
    <sheetView workbookViewId="0">
      <selection activeCell="H18" sqref="H18"/>
    </sheetView>
  </sheetViews>
  <sheetFormatPr defaultRowHeight="13.8"/>
  <cols>
    <col min="1" max="1" width="15.3984375" bestFit="1" customWidth="1"/>
    <col min="2" max="2" width="16.09765625" bestFit="1" customWidth="1"/>
    <col min="3" max="3" width="9.8984375" bestFit="1" customWidth="1"/>
    <col min="4" max="4" width="11" bestFit="1" customWidth="1"/>
    <col min="8" max="8" width="15.3984375" bestFit="1" customWidth="1"/>
    <col min="9" max="9" width="16.09765625" bestFit="1" customWidth="1"/>
    <col min="10" max="10" width="9.8984375" bestFit="1" customWidth="1"/>
    <col min="11" max="11" width="11" bestFit="1" customWidth="1"/>
  </cols>
  <sheetData>
    <row r="3" spans="1:11">
      <c r="A3" s="4" t="s">
        <v>1453</v>
      </c>
      <c r="B3" s="4" t="s">
        <v>1454</v>
      </c>
      <c r="H3" s="4" t="s">
        <v>1453</v>
      </c>
      <c r="I3" s="4" t="s">
        <v>1454</v>
      </c>
    </row>
    <row r="4" spans="1:11">
      <c r="A4" s="4" t="s">
        <v>1451</v>
      </c>
      <c r="B4" t="s">
        <v>17</v>
      </c>
      <c r="C4" t="s">
        <v>723</v>
      </c>
      <c r="D4" t="s">
        <v>1452</v>
      </c>
      <c r="H4" s="4" t="s">
        <v>1451</v>
      </c>
      <c r="I4" t="s">
        <v>17</v>
      </c>
      <c r="J4" t="s">
        <v>723</v>
      </c>
      <c r="K4" t="s">
        <v>1452</v>
      </c>
    </row>
    <row r="5" spans="1:11">
      <c r="A5" s="5" t="s">
        <v>28</v>
      </c>
      <c r="B5" s="6">
        <v>157</v>
      </c>
      <c r="C5" s="6">
        <v>170</v>
      </c>
      <c r="D5" s="6">
        <v>327</v>
      </c>
      <c r="H5" s="5" t="s">
        <v>20</v>
      </c>
      <c r="I5" s="6">
        <v>73</v>
      </c>
      <c r="J5" s="6">
        <v>56</v>
      </c>
      <c r="K5" s="6">
        <v>129</v>
      </c>
    </row>
    <row r="6" spans="1:11">
      <c r="A6" s="5" t="s">
        <v>18</v>
      </c>
      <c r="B6" s="6">
        <v>201</v>
      </c>
      <c r="C6" s="6">
        <v>180</v>
      </c>
      <c r="D6" s="6">
        <v>381</v>
      </c>
      <c r="H6" s="5" t="s">
        <v>25</v>
      </c>
      <c r="I6" s="6">
        <v>246</v>
      </c>
      <c r="J6" s="6">
        <v>237</v>
      </c>
      <c r="K6" s="6">
        <v>483</v>
      </c>
    </row>
    <row r="7" spans="1:11">
      <c r="A7" s="5" t="s">
        <v>32</v>
      </c>
      <c r="B7" s="6">
        <v>184</v>
      </c>
      <c r="C7" s="6">
        <v>183</v>
      </c>
      <c r="D7" s="6">
        <v>367</v>
      </c>
      <c r="H7" s="5" t="s">
        <v>29</v>
      </c>
      <c r="I7" s="6">
        <v>155</v>
      </c>
      <c r="J7" s="6">
        <v>176</v>
      </c>
      <c r="K7" s="6">
        <v>331</v>
      </c>
    </row>
    <row r="8" spans="1:11">
      <c r="A8" s="5" t="s">
        <v>23</v>
      </c>
      <c r="B8" s="6">
        <v>148</v>
      </c>
      <c r="C8" s="6">
        <v>177</v>
      </c>
      <c r="D8" s="6">
        <v>325</v>
      </c>
      <c r="H8" s="5" t="s">
        <v>39</v>
      </c>
      <c r="I8" s="6">
        <v>81</v>
      </c>
      <c r="J8" s="6">
        <v>91</v>
      </c>
      <c r="K8" s="6">
        <v>172</v>
      </c>
    </row>
    <row r="9" spans="1:11">
      <c r="A9" s="5" t="s">
        <v>1452</v>
      </c>
      <c r="B9" s="6">
        <v>690</v>
      </c>
      <c r="C9" s="6">
        <v>710</v>
      </c>
      <c r="D9" s="6">
        <v>1400</v>
      </c>
      <c r="H9" s="5" t="s">
        <v>41</v>
      </c>
      <c r="I9" s="6">
        <v>129</v>
      </c>
      <c r="J9" s="6">
        <v>132</v>
      </c>
      <c r="K9" s="6">
        <v>261</v>
      </c>
    </row>
    <row r="10" spans="1:11">
      <c r="H10" s="5" t="s">
        <v>1455</v>
      </c>
      <c r="I10" s="6">
        <v>6</v>
      </c>
      <c r="J10" s="6">
        <v>18</v>
      </c>
      <c r="K10" s="6">
        <v>24</v>
      </c>
    </row>
    <row r="11" spans="1:11">
      <c r="H11" s="5" t="s">
        <v>1452</v>
      </c>
      <c r="I11" s="6">
        <v>690</v>
      </c>
      <c r="J11" s="6">
        <v>710</v>
      </c>
      <c r="K11" s="6">
        <v>1400</v>
      </c>
    </row>
    <row r="13" spans="1:11">
      <c r="A13" s="4" t="s">
        <v>1453</v>
      </c>
      <c r="B13" s="4" t="s">
        <v>1454</v>
      </c>
    </row>
    <row r="14" spans="1:11">
      <c r="A14" s="4" t="s">
        <v>1451</v>
      </c>
      <c r="B14" t="s">
        <v>17</v>
      </c>
      <c r="C14" t="s">
        <v>723</v>
      </c>
      <c r="D14" t="s">
        <v>1452</v>
      </c>
    </row>
    <row r="15" spans="1:11">
      <c r="A15" s="5" t="s">
        <v>19</v>
      </c>
      <c r="B15" s="6">
        <v>200</v>
      </c>
      <c r="C15" s="6">
        <v>213</v>
      </c>
      <c r="D15" s="6">
        <v>413</v>
      </c>
    </row>
    <row r="16" spans="1:11">
      <c r="A16" s="5" t="s">
        <v>24</v>
      </c>
      <c r="B16" s="6">
        <v>426</v>
      </c>
      <c r="C16" s="6">
        <v>432</v>
      </c>
      <c r="D16" s="6">
        <v>858</v>
      </c>
    </row>
    <row r="17" spans="1:11">
      <c r="A17" s="5" t="s">
        <v>34</v>
      </c>
      <c r="B17" s="6">
        <v>55</v>
      </c>
      <c r="C17" s="6">
        <v>56</v>
      </c>
      <c r="D17" s="6">
        <v>111</v>
      </c>
    </row>
    <row r="18" spans="1:11">
      <c r="A18" s="5" t="s">
        <v>1455</v>
      </c>
      <c r="B18" s="6">
        <v>9</v>
      </c>
      <c r="C18" s="6">
        <v>9</v>
      </c>
      <c r="D18" s="6">
        <v>18</v>
      </c>
      <c r="H18" s="4" t="s">
        <v>1453</v>
      </c>
      <c r="I18" s="4" t="s">
        <v>1454</v>
      </c>
    </row>
    <row r="19" spans="1:11">
      <c r="A19" s="5" t="s">
        <v>1452</v>
      </c>
      <c r="B19" s="6">
        <v>690</v>
      </c>
      <c r="C19" s="6">
        <v>710</v>
      </c>
      <c r="D19" s="6">
        <v>1400</v>
      </c>
      <c r="H19" s="4" t="s">
        <v>1451</v>
      </c>
      <c r="I19" t="s">
        <v>17</v>
      </c>
      <c r="J19" t="s">
        <v>723</v>
      </c>
      <c r="K19" t="s">
        <v>1452</v>
      </c>
    </row>
    <row r="20" spans="1:11">
      <c r="H20" s="5" t="s">
        <v>21</v>
      </c>
      <c r="I20" s="6">
        <v>221</v>
      </c>
      <c r="J20" s="6">
        <v>232</v>
      </c>
      <c r="K20" s="6">
        <v>453</v>
      </c>
    </row>
    <row r="21" spans="1:11">
      <c r="H21" s="5" t="s">
        <v>26</v>
      </c>
      <c r="I21" s="6">
        <v>360</v>
      </c>
      <c r="J21" s="6">
        <v>366</v>
      </c>
      <c r="K21" s="6">
        <v>726</v>
      </c>
    </row>
    <row r="22" spans="1:11">
      <c r="H22" s="5" t="s">
        <v>30</v>
      </c>
      <c r="I22" s="6">
        <v>109</v>
      </c>
      <c r="J22" s="6">
        <v>112</v>
      </c>
      <c r="K22" s="6">
        <v>221</v>
      </c>
    </row>
    <row r="23" spans="1:11">
      <c r="H23" s="5" t="s">
        <v>1452</v>
      </c>
      <c r="I23" s="6">
        <v>690</v>
      </c>
      <c r="J23" s="6">
        <v>710</v>
      </c>
      <c r="K23" s="6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4AF0-EA4D-4558-94E2-B4647757BEFB}">
  <dimension ref="A1:C13"/>
  <sheetViews>
    <sheetView tabSelected="1" workbookViewId="0">
      <selection activeCell="G15" sqref="G15"/>
    </sheetView>
  </sheetViews>
  <sheetFormatPr defaultRowHeight="13.8"/>
  <cols>
    <col min="1" max="1" width="21" customWidth="1"/>
    <col min="2" max="2" width="16.8984375" customWidth="1"/>
    <col min="3" max="3" width="26.5" customWidth="1"/>
  </cols>
  <sheetData>
    <row r="1" spans="1:3" ht="17.399999999999999">
      <c r="A1" s="13" t="s">
        <v>1485</v>
      </c>
      <c r="B1" s="13"/>
      <c r="C1" s="13"/>
    </row>
    <row r="2" spans="1:3">
      <c r="A2" s="7" t="s">
        <v>1456</v>
      </c>
      <c r="B2" s="7" t="s">
        <v>17</v>
      </c>
      <c r="C2" s="7" t="s">
        <v>723</v>
      </c>
    </row>
    <row r="3" spans="1:3">
      <c r="A3" s="8" t="s">
        <v>1457</v>
      </c>
      <c r="B3" s="8">
        <f>COUNTIF(experiment_data!$C:$C,"Control")</f>
        <v>690</v>
      </c>
      <c r="C3" s="8">
        <f>COUNTIF(experiment_data!$C:$C,"Treatment")</f>
        <v>710</v>
      </c>
    </row>
    <row r="4" spans="1:3">
      <c r="A4" s="8" t="s">
        <v>1458</v>
      </c>
      <c r="B4" s="8">
        <f>COUNTIFS(experiment_data!$C:$C,"Control",experiment_data!$H:$H,1)/COUNTIF(experiment_data!$C:$C,"Control")</f>
        <v>0.63623188405797104</v>
      </c>
      <c r="C4" s="8">
        <f>COUNTIFS(experiment_data!$C:$C,"Treatment",experiment_data!$H:$H,1)/COUNTIF(experiment_data!$C:$C,"Treatment")</f>
        <v>0.72394366197183102</v>
      </c>
    </row>
    <row r="5" spans="1:3">
      <c r="A5" s="8" t="s">
        <v>1459</v>
      </c>
      <c r="B5" s="8">
        <f>COUNTIFS(experiment_data!$C:$C,"Control",experiment_data!$I:$I,1)/COUNTIF(experiment_data!$C:$C,"Control")</f>
        <v>0.25072463768115943</v>
      </c>
      <c r="C5" s="8">
        <f>COUNTIFS(experiment_data!$C:$C,"Treatment",experiment_data!$I:$I,1)/COUNTIF(experiment_data!$C:$C,"Treatment")</f>
        <v>0.29014084507042254</v>
      </c>
    </row>
    <row r="6" spans="1:3" ht="27.6">
      <c r="A6" s="8" t="s">
        <v>1460</v>
      </c>
      <c r="B6" s="8">
        <f>COUNTIFS(experiment_data!$C:$C,"Control",experiment_data!$J:$J,1)/COUNTIF(experiment_data!$C:$C,"Control")</f>
        <v>0.15652173913043479</v>
      </c>
      <c r="C6" s="8">
        <f>COUNTIFS(experiment_data!$C:$C,"Treatment",experiment_data!$J:$J,1)/COUNTIF(experiment_data!$C:$C,"Treatment")</f>
        <v>0.21126760563380281</v>
      </c>
    </row>
    <row r="7" spans="1:3">
      <c r="A7" s="8" t="s">
        <v>1461</v>
      </c>
      <c r="B7" s="8">
        <f>COUNTIFS(experiment_data!$C:$C,"Control",experiment_data!$K:$K,1)/COUNTIF(experiment_data!$C:$C,"Control")</f>
        <v>3.1884057971014491E-2</v>
      </c>
      <c r="C7" s="8">
        <f>COUNTIFS(experiment_data!$C:$C,"Treatment",experiment_data!$K:$K,1)/COUNTIF(experiment_data!$C:$C,"Treatment")</f>
        <v>7.0422535211267609E-2</v>
      </c>
    </row>
    <row r="8" spans="1:3" ht="27.6">
      <c r="A8" s="8" t="s">
        <v>1462</v>
      </c>
      <c r="B8" s="8">
        <f>SUMIFS(experiment_data!$L:$L,experiment_data!$C:$C,"Control")/COUNTIF(experiment_data!$C:$C,"Control")</f>
        <v>51.974318840579706</v>
      </c>
      <c r="C8" s="8">
        <f>SUMIFS(experiment_data!$L:$L,experiment_data!$C:$C,"Treatment")/COUNTIF(experiment_data!$C:$C,"Treatment")</f>
        <v>54.254521126760551</v>
      </c>
    </row>
    <row r="9" spans="1:3" ht="27.6">
      <c r="A9" s="8" t="s">
        <v>1463</v>
      </c>
      <c r="B9" s="8">
        <f>SUMIFS(experiment_data!$L:$L,experiment_data!$C:$C,"Control")/COUNTIFS(experiment_data!$C:$C,"Control",experiment_data!$K:$K,1)</f>
        <v>1630.1036363636363</v>
      </c>
      <c r="C9" s="8">
        <f>SUMIFS(experiment_data!$L:$L,experiment_data!$C:$C,"Treatment")/COUNTIFS(experiment_data!$C:$C,"Treatment",experiment_data!$K:$K,1)</f>
        <v>770.41419999999982</v>
      </c>
    </row>
    <row r="10" spans="1:3">
      <c r="A10" s="8" t="s">
        <v>1464</v>
      </c>
      <c r="B10" s="8">
        <f>COUNTIFS(experiment_data!$C:$C,"Control",experiment_data!$N:$N,1)/COUNTIF(experiment_data!$C:$C,"Control")</f>
        <v>0</v>
      </c>
      <c r="C10" s="8">
        <f>COUNTIFS(experiment_data!$C:$C,"Treatment",experiment_data!$N:$N,1)/COUNTIF(experiment_data!$C:$C,"Treatment")</f>
        <v>4.2253521126760559E-3</v>
      </c>
    </row>
    <row r="11" spans="1:3">
      <c r="A11" s="8" t="s">
        <v>1465</v>
      </c>
      <c r="B11" s="8">
        <f>COUNTIFS(experiment_data!$C:$C,"Control",experiment_data!$M:$M,"&gt;0")/COUNTIF(experiment_data!$C:$C,"Control")</f>
        <v>0.14782608695652175</v>
      </c>
      <c r="C11" s="8">
        <f>COUNTIFS(experiment_data!$C:$C,"Treatment",experiment_data!$M:$M,"&gt;0")/COUNTIF(experiment_data!$C:$C,"Treatment")</f>
        <v>0.24788732394366197</v>
      </c>
    </row>
    <row r="12" spans="1:3" ht="27.6">
      <c r="A12" s="8" t="s">
        <v>1466</v>
      </c>
      <c r="B12" s="8">
        <f>AVERAGEIFS(experiment_data!$P:$P,experiment_data!$C:$C,"Control")</f>
        <v>57.029532163742729</v>
      </c>
      <c r="C12" s="8">
        <f>AVERAGEIFS(experiment_data!$P:$P,experiment_data!$C:$C,"Treatment")</f>
        <v>62.940028490028489</v>
      </c>
    </row>
    <row r="13" spans="1:3" ht="27.6">
      <c r="A13" s="8" t="s">
        <v>1467</v>
      </c>
      <c r="B13" s="8">
        <f>AVERAGEIFS(experiment_data!$O:$O,experiment_data!$C:$C,"Control")</f>
        <v>8.8636363636363633</v>
      </c>
      <c r="C13" s="8">
        <f>AVERAGEIFS(experiment_data!$O:$O,experiment_data!$C:$C,"Treatment")</f>
        <v>6.4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ACD2-466D-43E3-B734-67A00711767C}">
  <dimension ref="A2:G12"/>
  <sheetViews>
    <sheetView workbookViewId="0">
      <selection activeCell="I6" sqref="I6"/>
    </sheetView>
  </sheetViews>
  <sheetFormatPr defaultRowHeight="13.8"/>
  <cols>
    <col min="1" max="1" width="11.796875" customWidth="1"/>
    <col min="2" max="2" width="9" customWidth="1"/>
    <col min="3" max="3" width="11.59765625" customWidth="1"/>
    <col min="6" max="6" width="13.8984375" customWidth="1"/>
    <col min="7" max="7" width="22" customWidth="1"/>
  </cols>
  <sheetData>
    <row r="2" spans="1:7">
      <c r="A2" s="7" t="s">
        <v>1433</v>
      </c>
      <c r="B2" s="10" t="s">
        <v>17</v>
      </c>
      <c r="C2" s="10" t="s">
        <v>723</v>
      </c>
      <c r="F2" s="7" t="s">
        <v>1433</v>
      </c>
      <c r="G2" s="10" t="s">
        <v>1472</v>
      </c>
    </row>
    <row r="3" spans="1:7" ht="41.4">
      <c r="A3" s="8" t="s">
        <v>1468</v>
      </c>
      <c r="B3" s="9">
        <v>690</v>
      </c>
      <c r="C3" s="9">
        <v>710</v>
      </c>
      <c r="F3" s="8" t="s">
        <v>1473</v>
      </c>
      <c r="G3" s="9" t="s">
        <v>1474</v>
      </c>
    </row>
    <row r="4" spans="1:7" ht="27.6">
      <c r="A4" s="8" t="s">
        <v>1469</v>
      </c>
      <c r="B4" s="9">
        <v>22</v>
      </c>
      <c r="C4" s="9">
        <v>50</v>
      </c>
      <c r="F4" s="8" t="s">
        <v>1475</v>
      </c>
      <c r="G4" s="9">
        <v>690</v>
      </c>
    </row>
    <row r="5" spans="1:7" ht="27.6">
      <c r="F5" s="8" t="s">
        <v>1476</v>
      </c>
      <c r="G5" s="9">
        <v>710</v>
      </c>
    </row>
    <row r="6" spans="1:7" ht="41.4">
      <c r="F6" s="8" t="s">
        <v>1477</v>
      </c>
      <c r="G6" s="9">
        <v>22</v>
      </c>
    </row>
    <row r="7" spans="1:7" ht="55.2">
      <c r="F7" s="8" t="s">
        <v>1478</v>
      </c>
      <c r="G7" s="9">
        <v>50</v>
      </c>
    </row>
    <row r="8" spans="1:7">
      <c r="F8" s="8" t="s">
        <v>1479</v>
      </c>
      <c r="G8" s="9">
        <v>3.2639999999999998</v>
      </c>
    </row>
    <row r="9" spans="1:7">
      <c r="A9" s="7"/>
      <c r="B9" s="7"/>
      <c r="F9" s="8" t="s">
        <v>1471</v>
      </c>
      <c r="G9" s="9">
        <v>1.1000000000000001E-3</v>
      </c>
    </row>
    <row r="10" spans="1:7">
      <c r="A10" s="8"/>
      <c r="B10" s="11"/>
      <c r="F10" s="8" t="s">
        <v>1480</v>
      </c>
      <c r="G10" s="9">
        <v>0.05</v>
      </c>
    </row>
    <row r="11" spans="1:7">
      <c r="A11" s="8"/>
      <c r="B11" s="11"/>
      <c r="F11" s="8" t="s">
        <v>1481</v>
      </c>
      <c r="G11" s="9" t="s">
        <v>1482</v>
      </c>
    </row>
    <row r="12" spans="1:7" ht="96.6">
      <c r="A12" s="8"/>
      <c r="B12" s="12"/>
      <c r="F12" s="8" t="s">
        <v>1483</v>
      </c>
      <c r="G12" s="9" t="s">
        <v>1484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1"/>
  <sheetViews>
    <sheetView topLeftCell="I1" workbookViewId="0">
      <selection activeCell="Q1" sqref="Q1:Q1048576"/>
    </sheetView>
  </sheetViews>
  <sheetFormatPr defaultRowHeight="13.8"/>
  <cols>
    <col min="1" max="1" width="16" customWidth="1"/>
    <col min="2" max="2" width="11.59765625" bestFit="1" customWidth="1"/>
    <col min="3" max="3" width="17.296875" bestFit="1" customWidth="1"/>
    <col min="4" max="7" width="16" customWidth="1"/>
    <col min="8" max="8" width="19.69921875" bestFit="1" customWidth="1"/>
    <col min="9" max="9" width="16" customWidth="1"/>
    <col min="10" max="10" width="21.3984375" bestFit="1" customWidth="1"/>
    <col min="11" max="11" width="17.3984375" bestFit="1" customWidth="1"/>
    <col min="12" max="12" width="16" customWidth="1"/>
    <col min="13" max="13" width="18.69921875" bestFit="1" customWidth="1"/>
    <col min="14" max="14" width="16.59765625" bestFit="1" customWidth="1"/>
    <col min="15" max="15" width="15.59765625" bestFit="1" customWidth="1"/>
    <col min="16" max="16" width="18" bestFit="1" customWidth="1"/>
    <col min="17" max="17" width="17.3984375" bestFit="1" customWidth="1"/>
  </cols>
  <sheetData>
    <row r="1" spans="1:17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1470</v>
      </c>
    </row>
    <row r="2" spans="1:17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K2</f>
        <v>0</v>
      </c>
    </row>
    <row r="3" spans="1:17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K3</f>
        <v>0</v>
      </c>
    </row>
    <row r="4" spans="1:17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0</v>
      </c>
    </row>
    <row r="5" spans="1:17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0</v>
      </c>
    </row>
    <row r="6" spans="1:17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0</v>
      </c>
    </row>
    <row r="7" spans="1:17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0</v>
      </c>
    </row>
    <row r="8" spans="1:17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0</v>
      </c>
    </row>
    <row r="9" spans="1:17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0</v>
      </c>
    </row>
    <row r="10" spans="1:17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0</v>
      </c>
    </row>
    <row r="11" spans="1:17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0</v>
      </c>
    </row>
    <row r="12" spans="1:17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0</v>
      </c>
    </row>
    <row r="13" spans="1:17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0</v>
      </c>
    </row>
    <row r="14" spans="1:17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0</v>
      </c>
    </row>
    <row r="15" spans="1:17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0</v>
      </c>
    </row>
    <row r="16" spans="1:17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0</v>
      </c>
    </row>
    <row r="17" spans="1:17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0</v>
      </c>
    </row>
    <row r="18" spans="1:17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0</v>
      </c>
    </row>
    <row r="19" spans="1:17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0</v>
      </c>
    </row>
    <row r="20" spans="1:17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0</v>
      </c>
    </row>
    <row r="21" spans="1:17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0</v>
      </c>
    </row>
    <row r="22" spans="1:17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0</v>
      </c>
    </row>
    <row r="23" spans="1:17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0</v>
      </c>
    </row>
    <row r="24" spans="1:17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0</v>
      </c>
    </row>
    <row r="25" spans="1:17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0</v>
      </c>
    </row>
    <row r="26" spans="1:17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0</v>
      </c>
    </row>
    <row r="27" spans="1:17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0</v>
      </c>
    </row>
    <row r="28" spans="1:17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0</v>
      </c>
    </row>
    <row r="29" spans="1:17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0</v>
      </c>
    </row>
    <row r="30" spans="1:17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0</v>
      </c>
    </row>
    <row r="31" spans="1:17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0</v>
      </c>
    </row>
    <row r="32" spans="1:17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0</v>
      </c>
    </row>
    <row r="33" spans="1:17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0</v>
      </c>
    </row>
    <row r="34" spans="1:17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0</v>
      </c>
    </row>
    <row r="35" spans="1:17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0</v>
      </c>
    </row>
    <row r="36" spans="1:17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0</v>
      </c>
    </row>
    <row r="37" spans="1:17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0</v>
      </c>
    </row>
    <row r="38" spans="1:17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0</v>
      </c>
    </row>
    <row r="39" spans="1:17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0</v>
      </c>
    </row>
    <row r="40" spans="1:17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0</v>
      </c>
    </row>
    <row r="41" spans="1:17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0</v>
      </c>
    </row>
    <row r="42" spans="1:17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0</v>
      </c>
    </row>
    <row r="43" spans="1:17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0</v>
      </c>
    </row>
    <row r="44" spans="1:17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0</v>
      </c>
    </row>
    <row r="45" spans="1:17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0</v>
      </c>
    </row>
    <row r="46" spans="1:17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0</v>
      </c>
    </row>
    <row r="47" spans="1:17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0</v>
      </c>
    </row>
    <row r="48" spans="1:17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0</v>
      </c>
    </row>
    <row r="49" spans="1:17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0</v>
      </c>
    </row>
    <row r="50" spans="1:17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0</v>
      </c>
    </row>
    <row r="51" spans="1:17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0</v>
      </c>
    </row>
    <row r="52" spans="1:17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0</v>
      </c>
    </row>
    <row r="53" spans="1:17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0</v>
      </c>
    </row>
    <row r="54" spans="1:17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0</v>
      </c>
    </row>
    <row r="55" spans="1:17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0</v>
      </c>
    </row>
    <row r="56" spans="1:17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0</v>
      </c>
    </row>
    <row r="57" spans="1:17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0</v>
      </c>
    </row>
    <row r="58" spans="1:17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0</v>
      </c>
    </row>
    <row r="59" spans="1:17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0</v>
      </c>
    </row>
    <row r="60" spans="1:17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0</v>
      </c>
    </row>
    <row r="61" spans="1:17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</row>
    <row r="62" spans="1:17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0</v>
      </c>
    </row>
    <row r="63" spans="1:17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0</v>
      </c>
    </row>
    <row r="64" spans="1:17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0</v>
      </c>
    </row>
    <row r="65" spans="1:17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0</v>
      </c>
    </row>
    <row r="66" spans="1:17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0</v>
      </c>
    </row>
    <row r="67" spans="1:17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1">K67</f>
        <v>0</v>
      </c>
    </row>
    <row r="68" spans="1:17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1"/>
        <v>0</v>
      </c>
    </row>
    <row r="69" spans="1:17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1"/>
        <v>0</v>
      </c>
    </row>
    <row r="70" spans="1:17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1"/>
        <v>0</v>
      </c>
    </row>
    <row r="71" spans="1:17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1"/>
        <v>0</v>
      </c>
    </row>
    <row r="72" spans="1:17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1"/>
        <v>0</v>
      </c>
    </row>
    <row r="73" spans="1:17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1"/>
        <v>0</v>
      </c>
    </row>
    <row r="74" spans="1:17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1"/>
        <v>0</v>
      </c>
    </row>
    <row r="75" spans="1:17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1"/>
        <v>0</v>
      </c>
    </row>
    <row r="76" spans="1:17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1"/>
        <v>0</v>
      </c>
    </row>
    <row r="77" spans="1:17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1"/>
        <v>0</v>
      </c>
    </row>
    <row r="78" spans="1:17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1"/>
        <v>0</v>
      </c>
    </row>
    <row r="79" spans="1:17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1"/>
        <v>0</v>
      </c>
    </row>
    <row r="80" spans="1:17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1"/>
        <v>1</v>
      </c>
    </row>
    <row r="81" spans="1:17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1"/>
        <v>0</v>
      </c>
    </row>
    <row r="82" spans="1:17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1"/>
        <v>0</v>
      </c>
    </row>
    <row r="83" spans="1:17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1"/>
        <v>0</v>
      </c>
    </row>
    <row r="84" spans="1:17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1"/>
        <v>0</v>
      </c>
    </row>
    <row r="85" spans="1:17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1"/>
        <v>0</v>
      </c>
    </row>
    <row r="86" spans="1:17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1"/>
        <v>0</v>
      </c>
    </row>
    <row r="87" spans="1:17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1"/>
        <v>0</v>
      </c>
    </row>
    <row r="88" spans="1:17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1"/>
        <v>0</v>
      </c>
    </row>
    <row r="89" spans="1:17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1"/>
        <v>0</v>
      </c>
    </row>
    <row r="90" spans="1:17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1"/>
        <v>0</v>
      </c>
    </row>
    <row r="91" spans="1:17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1"/>
        <v>0</v>
      </c>
    </row>
    <row r="92" spans="1:17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1"/>
        <v>0</v>
      </c>
    </row>
    <row r="93" spans="1:17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1"/>
        <v>0</v>
      </c>
    </row>
    <row r="94" spans="1:17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1"/>
        <v>0</v>
      </c>
    </row>
    <row r="95" spans="1:17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1"/>
        <v>0</v>
      </c>
    </row>
    <row r="96" spans="1:17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1"/>
        <v>0</v>
      </c>
    </row>
    <row r="97" spans="1:17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1"/>
        <v>0</v>
      </c>
    </row>
    <row r="98" spans="1:17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1"/>
        <v>0</v>
      </c>
    </row>
    <row r="99" spans="1:17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1"/>
        <v>0</v>
      </c>
    </row>
    <row r="100" spans="1:17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1"/>
        <v>1</v>
      </c>
    </row>
    <row r="101" spans="1:17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1"/>
        <v>0</v>
      </c>
    </row>
    <row r="102" spans="1:17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1"/>
        <v>0</v>
      </c>
    </row>
    <row r="103" spans="1:17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1"/>
        <v>0</v>
      </c>
    </row>
    <row r="104" spans="1:17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1"/>
        <v>1</v>
      </c>
    </row>
    <row r="105" spans="1:17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1"/>
        <v>0</v>
      </c>
    </row>
    <row r="106" spans="1:17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1"/>
        <v>0</v>
      </c>
    </row>
    <row r="107" spans="1:17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1"/>
        <v>1</v>
      </c>
    </row>
    <row r="108" spans="1:17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1"/>
        <v>0</v>
      </c>
    </row>
    <row r="109" spans="1:17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1"/>
        <v>0</v>
      </c>
    </row>
    <row r="110" spans="1:17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1"/>
        <v>0</v>
      </c>
    </row>
    <row r="111" spans="1:17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1"/>
        <v>0</v>
      </c>
    </row>
    <row r="112" spans="1:17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1"/>
        <v>0</v>
      </c>
    </row>
    <row r="113" spans="1:17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1"/>
        <v>0</v>
      </c>
    </row>
    <row r="114" spans="1:17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1"/>
        <v>0</v>
      </c>
    </row>
    <row r="115" spans="1:17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1"/>
        <v>0</v>
      </c>
    </row>
    <row r="116" spans="1:17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1"/>
        <v>0</v>
      </c>
    </row>
    <row r="117" spans="1:17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1"/>
        <v>0</v>
      </c>
    </row>
    <row r="118" spans="1:17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1"/>
        <v>0</v>
      </c>
    </row>
    <row r="119" spans="1:17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1"/>
        <v>0</v>
      </c>
    </row>
    <row r="120" spans="1:17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1"/>
        <v>0</v>
      </c>
    </row>
    <row r="121" spans="1:17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1"/>
        <v>0</v>
      </c>
    </row>
    <row r="122" spans="1:17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1"/>
        <v>0</v>
      </c>
    </row>
    <row r="123" spans="1:17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1"/>
        <v>0</v>
      </c>
    </row>
    <row r="124" spans="1:17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1"/>
        <v>0</v>
      </c>
    </row>
    <row r="125" spans="1:17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1"/>
        <v>0</v>
      </c>
    </row>
    <row r="126" spans="1:17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1"/>
        <v>0</v>
      </c>
    </row>
    <row r="127" spans="1:17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1"/>
        <v>0</v>
      </c>
    </row>
    <row r="128" spans="1:17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1"/>
        <v>0</v>
      </c>
    </row>
    <row r="129" spans="1:17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1"/>
        <v>0</v>
      </c>
    </row>
    <row r="130" spans="1:17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1"/>
        <v>0</v>
      </c>
    </row>
    <row r="131" spans="1:17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2">K131</f>
        <v>0</v>
      </c>
    </row>
    <row r="132" spans="1:17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2"/>
        <v>0</v>
      </c>
    </row>
    <row r="133" spans="1:17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2"/>
        <v>0</v>
      </c>
    </row>
    <row r="134" spans="1:17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2"/>
        <v>0</v>
      </c>
    </row>
    <row r="135" spans="1:17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2"/>
        <v>0</v>
      </c>
    </row>
    <row r="136" spans="1:17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2"/>
        <v>0</v>
      </c>
    </row>
    <row r="137" spans="1:17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2"/>
        <v>0</v>
      </c>
    </row>
    <row r="138" spans="1:17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2"/>
        <v>0</v>
      </c>
    </row>
    <row r="139" spans="1:17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2"/>
        <v>0</v>
      </c>
    </row>
    <row r="140" spans="1:17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2"/>
        <v>0</v>
      </c>
    </row>
    <row r="141" spans="1:17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2"/>
        <v>0</v>
      </c>
    </row>
    <row r="142" spans="1:17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2"/>
        <v>0</v>
      </c>
    </row>
    <row r="143" spans="1:17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2"/>
        <v>1</v>
      </c>
    </row>
    <row r="144" spans="1:17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2"/>
        <v>0</v>
      </c>
    </row>
    <row r="145" spans="1:17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2"/>
        <v>0</v>
      </c>
    </row>
    <row r="146" spans="1:17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2"/>
        <v>0</v>
      </c>
    </row>
    <row r="147" spans="1:17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2"/>
        <v>0</v>
      </c>
    </row>
    <row r="148" spans="1:17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2"/>
        <v>0</v>
      </c>
    </row>
    <row r="149" spans="1:17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2"/>
        <v>0</v>
      </c>
    </row>
    <row r="150" spans="1:17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2"/>
        <v>1</v>
      </c>
    </row>
    <row r="151" spans="1:17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2"/>
        <v>0</v>
      </c>
    </row>
    <row r="152" spans="1:17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2"/>
        <v>0</v>
      </c>
    </row>
    <row r="153" spans="1:17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2"/>
        <v>0</v>
      </c>
    </row>
    <row r="154" spans="1:17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2"/>
        <v>0</v>
      </c>
    </row>
    <row r="155" spans="1:17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2"/>
        <v>0</v>
      </c>
    </row>
    <row r="156" spans="1:17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2"/>
        <v>0</v>
      </c>
    </row>
    <row r="157" spans="1:17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2"/>
        <v>0</v>
      </c>
    </row>
    <row r="158" spans="1:17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2"/>
        <v>0</v>
      </c>
    </row>
    <row r="159" spans="1:17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2"/>
        <v>0</v>
      </c>
    </row>
    <row r="160" spans="1:17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2"/>
        <v>0</v>
      </c>
    </row>
    <row r="161" spans="1:17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2"/>
        <v>0</v>
      </c>
    </row>
    <row r="162" spans="1:17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2"/>
        <v>0</v>
      </c>
    </row>
    <row r="163" spans="1:17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2"/>
        <v>0</v>
      </c>
    </row>
    <row r="164" spans="1:17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2"/>
        <v>0</v>
      </c>
    </row>
    <row r="165" spans="1:17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2"/>
        <v>0</v>
      </c>
    </row>
    <row r="166" spans="1:17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2"/>
        <v>0</v>
      </c>
    </row>
    <row r="167" spans="1:17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2"/>
        <v>1</v>
      </c>
    </row>
    <row r="168" spans="1:17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2"/>
        <v>0</v>
      </c>
    </row>
    <row r="169" spans="1:17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2"/>
        <v>0</v>
      </c>
    </row>
    <row r="170" spans="1:17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2"/>
        <v>0</v>
      </c>
    </row>
    <row r="171" spans="1:17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2"/>
        <v>0</v>
      </c>
    </row>
    <row r="172" spans="1:17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2"/>
        <v>0</v>
      </c>
    </row>
    <row r="173" spans="1:17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2"/>
        <v>0</v>
      </c>
    </row>
    <row r="174" spans="1:17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2"/>
        <v>0</v>
      </c>
    </row>
    <row r="175" spans="1:17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2"/>
        <v>0</v>
      </c>
    </row>
    <row r="176" spans="1:17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2"/>
        <v>0</v>
      </c>
    </row>
    <row r="177" spans="1:17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2"/>
        <v>0</v>
      </c>
    </row>
    <row r="178" spans="1:17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2"/>
        <v>0</v>
      </c>
    </row>
    <row r="179" spans="1:17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2"/>
        <v>0</v>
      </c>
    </row>
    <row r="180" spans="1:17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2"/>
        <v>0</v>
      </c>
    </row>
    <row r="181" spans="1:17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2"/>
        <v>0</v>
      </c>
    </row>
    <row r="182" spans="1:17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2"/>
        <v>0</v>
      </c>
    </row>
    <row r="183" spans="1:17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2"/>
        <v>0</v>
      </c>
    </row>
    <row r="184" spans="1:17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2"/>
        <v>0</v>
      </c>
    </row>
    <row r="185" spans="1:17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2"/>
        <v>0</v>
      </c>
    </row>
    <row r="186" spans="1:17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2"/>
        <v>0</v>
      </c>
    </row>
    <row r="187" spans="1:17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2"/>
        <v>0</v>
      </c>
    </row>
    <row r="188" spans="1:17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2"/>
        <v>0</v>
      </c>
    </row>
    <row r="189" spans="1:17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2"/>
        <v>0</v>
      </c>
    </row>
    <row r="190" spans="1:17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2"/>
        <v>0</v>
      </c>
    </row>
    <row r="191" spans="1:17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2"/>
        <v>0</v>
      </c>
    </row>
    <row r="192" spans="1:17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2"/>
        <v>0</v>
      </c>
    </row>
    <row r="193" spans="1:17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2"/>
        <v>0</v>
      </c>
    </row>
    <row r="194" spans="1:17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2"/>
        <v>0</v>
      </c>
    </row>
    <row r="195" spans="1:17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3">K195</f>
        <v>0</v>
      </c>
    </row>
    <row r="196" spans="1:17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3"/>
        <v>0</v>
      </c>
    </row>
    <row r="197" spans="1:17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3"/>
        <v>0</v>
      </c>
    </row>
    <row r="198" spans="1:17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3"/>
        <v>1</v>
      </c>
    </row>
    <row r="199" spans="1:17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3"/>
        <v>0</v>
      </c>
    </row>
    <row r="200" spans="1:17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3"/>
        <v>0</v>
      </c>
    </row>
    <row r="201" spans="1:17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3"/>
        <v>0</v>
      </c>
    </row>
    <row r="202" spans="1:17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3"/>
        <v>0</v>
      </c>
    </row>
    <row r="203" spans="1:17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3"/>
        <v>0</v>
      </c>
    </row>
    <row r="204" spans="1:17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3"/>
        <v>0</v>
      </c>
    </row>
    <row r="205" spans="1:17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3"/>
        <v>0</v>
      </c>
    </row>
    <row r="206" spans="1:17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3"/>
        <v>0</v>
      </c>
    </row>
    <row r="207" spans="1:17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3"/>
        <v>0</v>
      </c>
    </row>
    <row r="208" spans="1:17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3"/>
        <v>0</v>
      </c>
    </row>
    <row r="209" spans="1:17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3"/>
        <v>0</v>
      </c>
    </row>
    <row r="210" spans="1:17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3"/>
        <v>0</v>
      </c>
    </row>
    <row r="211" spans="1:17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3"/>
        <v>0</v>
      </c>
    </row>
    <row r="212" spans="1:17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3"/>
        <v>1</v>
      </c>
    </row>
    <row r="213" spans="1:17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3"/>
        <v>0</v>
      </c>
    </row>
    <row r="214" spans="1:17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3"/>
        <v>0</v>
      </c>
    </row>
    <row r="215" spans="1:17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3"/>
        <v>0</v>
      </c>
    </row>
    <row r="216" spans="1:17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3"/>
        <v>0</v>
      </c>
    </row>
    <row r="217" spans="1:17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3"/>
        <v>0</v>
      </c>
    </row>
    <row r="218" spans="1:17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3"/>
        <v>0</v>
      </c>
    </row>
    <row r="219" spans="1:17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3"/>
        <v>0</v>
      </c>
    </row>
    <row r="220" spans="1:17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3"/>
        <v>0</v>
      </c>
    </row>
    <row r="221" spans="1:17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3"/>
        <v>0</v>
      </c>
    </row>
    <row r="222" spans="1:17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3"/>
        <v>0</v>
      </c>
    </row>
    <row r="223" spans="1:17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3"/>
        <v>0</v>
      </c>
    </row>
    <row r="224" spans="1:17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3"/>
        <v>0</v>
      </c>
    </row>
    <row r="225" spans="1:17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3"/>
        <v>0</v>
      </c>
    </row>
    <row r="226" spans="1:17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3"/>
        <v>0</v>
      </c>
    </row>
    <row r="227" spans="1:17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3"/>
        <v>0</v>
      </c>
    </row>
    <row r="228" spans="1:17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3"/>
        <v>0</v>
      </c>
    </row>
    <row r="229" spans="1:17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3"/>
        <v>0</v>
      </c>
    </row>
    <row r="230" spans="1:17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3"/>
        <v>0</v>
      </c>
    </row>
    <row r="231" spans="1:17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3"/>
        <v>0</v>
      </c>
    </row>
    <row r="232" spans="1:17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3"/>
        <v>0</v>
      </c>
    </row>
    <row r="233" spans="1:17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3"/>
        <v>0</v>
      </c>
    </row>
    <row r="234" spans="1:17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3"/>
        <v>0</v>
      </c>
    </row>
    <row r="235" spans="1:17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3"/>
        <v>0</v>
      </c>
    </row>
    <row r="236" spans="1:17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3"/>
        <v>0</v>
      </c>
    </row>
    <row r="237" spans="1:17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3"/>
        <v>0</v>
      </c>
    </row>
    <row r="238" spans="1:17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3"/>
        <v>0</v>
      </c>
    </row>
    <row r="239" spans="1:17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3"/>
        <v>0</v>
      </c>
    </row>
    <row r="240" spans="1:17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3"/>
        <v>0</v>
      </c>
    </row>
    <row r="241" spans="1:17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3"/>
        <v>0</v>
      </c>
    </row>
    <row r="242" spans="1:17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3"/>
        <v>0</v>
      </c>
    </row>
    <row r="243" spans="1:17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3"/>
        <v>0</v>
      </c>
    </row>
    <row r="244" spans="1:17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3"/>
        <v>0</v>
      </c>
    </row>
    <row r="245" spans="1:17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3"/>
        <v>0</v>
      </c>
    </row>
    <row r="246" spans="1:17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3"/>
        <v>0</v>
      </c>
    </row>
    <row r="247" spans="1:17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3"/>
        <v>0</v>
      </c>
    </row>
    <row r="248" spans="1:17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3"/>
        <v>0</v>
      </c>
    </row>
    <row r="249" spans="1:17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3"/>
        <v>0</v>
      </c>
    </row>
    <row r="250" spans="1:17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3"/>
        <v>0</v>
      </c>
    </row>
    <row r="251" spans="1:17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3"/>
        <v>0</v>
      </c>
    </row>
    <row r="252" spans="1:17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3"/>
        <v>1</v>
      </c>
    </row>
    <row r="253" spans="1:17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3"/>
        <v>0</v>
      </c>
    </row>
    <row r="254" spans="1:17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3"/>
        <v>0</v>
      </c>
    </row>
    <row r="255" spans="1:17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3"/>
        <v>0</v>
      </c>
    </row>
    <row r="256" spans="1:17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3"/>
        <v>0</v>
      </c>
    </row>
    <row r="257" spans="1:17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3"/>
        <v>0</v>
      </c>
    </row>
    <row r="258" spans="1:17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3"/>
        <v>0</v>
      </c>
    </row>
    <row r="259" spans="1:17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4">K259</f>
        <v>0</v>
      </c>
    </row>
    <row r="260" spans="1:17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4"/>
        <v>0</v>
      </c>
    </row>
    <row r="261" spans="1:17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4"/>
        <v>0</v>
      </c>
    </row>
    <row r="262" spans="1:17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4"/>
        <v>0</v>
      </c>
    </row>
    <row r="263" spans="1:17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4"/>
        <v>0</v>
      </c>
    </row>
    <row r="264" spans="1:17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4"/>
        <v>0</v>
      </c>
    </row>
    <row r="265" spans="1:17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4"/>
        <v>0</v>
      </c>
    </row>
    <row r="266" spans="1:17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4"/>
        <v>0</v>
      </c>
    </row>
    <row r="267" spans="1:17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4"/>
        <v>0</v>
      </c>
    </row>
    <row r="268" spans="1:17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4"/>
        <v>0</v>
      </c>
    </row>
    <row r="269" spans="1:17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4"/>
        <v>0</v>
      </c>
    </row>
    <row r="270" spans="1:17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4"/>
        <v>0</v>
      </c>
    </row>
    <row r="271" spans="1:17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4"/>
        <v>0</v>
      </c>
    </row>
    <row r="272" spans="1:17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4"/>
        <v>0</v>
      </c>
    </row>
    <row r="273" spans="1:17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4"/>
        <v>0</v>
      </c>
    </row>
    <row r="274" spans="1:17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4"/>
        <v>0</v>
      </c>
    </row>
    <row r="275" spans="1:17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4"/>
        <v>0</v>
      </c>
    </row>
    <row r="276" spans="1:17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4"/>
        <v>0</v>
      </c>
    </row>
    <row r="277" spans="1:17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4"/>
        <v>0</v>
      </c>
    </row>
    <row r="278" spans="1:17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4"/>
        <v>0</v>
      </c>
    </row>
    <row r="279" spans="1:17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4"/>
        <v>0</v>
      </c>
    </row>
    <row r="280" spans="1:17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4"/>
        <v>0</v>
      </c>
    </row>
    <row r="281" spans="1:17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4"/>
        <v>0</v>
      </c>
    </row>
    <row r="282" spans="1:17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4"/>
        <v>0</v>
      </c>
    </row>
    <row r="283" spans="1:17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4"/>
        <v>0</v>
      </c>
    </row>
    <row r="284" spans="1:17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4"/>
        <v>0</v>
      </c>
    </row>
    <row r="285" spans="1:17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4"/>
        <v>0</v>
      </c>
    </row>
    <row r="286" spans="1:17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4"/>
        <v>0</v>
      </c>
    </row>
    <row r="287" spans="1:17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4"/>
        <v>0</v>
      </c>
    </row>
    <row r="288" spans="1:17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4"/>
        <v>0</v>
      </c>
    </row>
    <row r="289" spans="1:17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4"/>
        <v>0</v>
      </c>
    </row>
    <row r="290" spans="1:17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4"/>
        <v>0</v>
      </c>
    </row>
    <row r="291" spans="1:17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4"/>
        <v>0</v>
      </c>
    </row>
    <row r="292" spans="1:17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4"/>
        <v>0</v>
      </c>
    </row>
    <row r="293" spans="1:17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4"/>
        <v>0</v>
      </c>
    </row>
    <row r="294" spans="1:17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4"/>
        <v>0</v>
      </c>
    </row>
    <row r="295" spans="1:17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4"/>
        <v>0</v>
      </c>
    </row>
    <row r="296" spans="1:17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4"/>
        <v>0</v>
      </c>
    </row>
    <row r="297" spans="1:17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4"/>
        <v>0</v>
      </c>
    </row>
    <row r="298" spans="1:17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4"/>
        <v>0</v>
      </c>
    </row>
    <row r="299" spans="1:17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4"/>
        <v>0</v>
      </c>
    </row>
    <row r="300" spans="1:17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4"/>
        <v>0</v>
      </c>
    </row>
    <row r="301" spans="1:17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4"/>
        <v>1</v>
      </c>
    </row>
    <row r="302" spans="1:17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4"/>
        <v>0</v>
      </c>
    </row>
    <row r="303" spans="1:17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4"/>
        <v>0</v>
      </c>
    </row>
    <row r="304" spans="1:17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4"/>
        <v>1</v>
      </c>
    </row>
    <row r="305" spans="1:17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4"/>
        <v>0</v>
      </c>
    </row>
    <row r="306" spans="1:17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4"/>
        <v>0</v>
      </c>
    </row>
    <row r="307" spans="1:17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4"/>
        <v>0</v>
      </c>
    </row>
    <row r="308" spans="1:17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4"/>
        <v>0</v>
      </c>
    </row>
    <row r="309" spans="1:17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4"/>
        <v>1</v>
      </c>
    </row>
    <row r="310" spans="1:17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4"/>
        <v>0</v>
      </c>
    </row>
    <row r="311" spans="1:17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4"/>
        <v>0</v>
      </c>
    </row>
    <row r="312" spans="1:17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4"/>
        <v>0</v>
      </c>
    </row>
    <row r="313" spans="1:17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4"/>
        <v>0</v>
      </c>
    </row>
    <row r="314" spans="1:17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4"/>
        <v>0</v>
      </c>
    </row>
    <row r="315" spans="1:17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4"/>
        <v>0</v>
      </c>
    </row>
    <row r="316" spans="1:17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4"/>
        <v>0</v>
      </c>
    </row>
    <row r="317" spans="1:17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4"/>
        <v>0</v>
      </c>
    </row>
    <row r="318" spans="1:17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4"/>
        <v>0</v>
      </c>
    </row>
    <row r="319" spans="1:17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4"/>
        <v>0</v>
      </c>
    </row>
    <row r="320" spans="1:17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4"/>
        <v>0</v>
      </c>
    </row>
    <row r="321" spans="1:17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4"/>
        <v>0</v>
      </c>
    </row>
    <row r="322" spans="1:17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4"/>
        <v>0</v>
      </c>
    </row>
    <row r="323" spans="1:17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5">K323</f>
        <v>0</v>
      </c>
    </row>
    <row r="324" spans="1:17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5"/>
        <v>0</v>
      </c>
    </row>
    <row r="325" spans="1:17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5"/>
        <v>0</v>
      </c>
    </row>
    <row r="326" spans="1:17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5"/>
        <v>0</v>
      </c>
    </row>
    <row r="327" spans="1:17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5"/>
        <v>0</v>
      </c>
    </row>
    <row r="328" spans="1:17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5"/>
        <v>0</v>
      </c>
    </row>
    <row r="329" spans="1:17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5"/>
        <v>0</v>
      </c>
    </row>
    <row r="330" spans="1:17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5"/>
        <v>0</v>
      </c>
    </row>
    <row r="331" spans="1:17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5"/>
        <v>0</v>
      </c>
    </row>
    <row r="332" spans="1:17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5"/>
        <v>1</v>
      </c>
    </row>
    <row r="333" spans="1:17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5"/>
        <v>0</v>
      </c>
    </row>
    <row r="334" spans="1:17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5"/>
        <v>0</v>
      </c>
    </row>
    <row r="335" spans="1:17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5"/>
        <v>0</v>
      </c>
    </row>
    <row r="336" spans="1:17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5"/>
        <v>1</v>
      </c>
    </row>
    <row r="337" spans="1:17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5"/>
        <v>1</v>
      </c>
    </row>
    <row r="338" spans="1:17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5"/>
        <v>0</v>
      </c>
    </row>
    <row r="339" spans="1:17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5"/>
        <v>0</v>
      </c>
    </row>
    <row r="340" spans="1:17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5"/>
        <v>0</v>
      </c>
    </row>
    <row r="341" spans="1:17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5"/>
        <v>0</v>
      </c>
    </row>
    <row r="342" spans="1:17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5"/>
        <v>0</v>
      </c>
    </row>
    <row r="343" spans="1:17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5"/>
        <v>0</v>
      </c>
    </row>
    <row r="344" spans="1:17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5"/>
        <v>0</v>
      </c>
    </row>
    <row r="345" spans="1:17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5"/>
        <v>0</v>
      </c>
    </row>
    <row r="346" spans="1:17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5"/>
        <v>0</v>
      </c>
    </row>
    <row r="347" spans="1:17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5"/>
        <v>0</v>
      </c>
    </row>
    <row r="348" spans="1:17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5"/>
        <v>0</v>
      </c>
    </row>
    <row r="349" spans="1:17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5"/>
        <v>0</v>
      </c>
    </row>
    <row r="350" spans="1:17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5"/>
        <v>0</v>
      </c>
    </row>
    <row r="351" spans="1:17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5"/>
        <v>0</v>
      </c>
    </row>
    <row r="352" spans="1:17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5"/>
        <v>0</v>
      </c>
    </row>
    <row r="353" spans="1:17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5"/>
        <v>0</v>
      </c>
    </row>
    <row r="354" spans="1:17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5"/>
        <v>0</v>
      </c>
    </row>
    <row r="355" spans="1:17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5"/>
        <v>0</v>
      </c>
    </row>
    <row r="356" spans="1:17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5"/>
        <v>0</v>
      </c>
    </row>
    <row r="357" spans="1:17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5"/>
        <v>0</v>
      </c>
    </row>
    <row r="358" spans="1:17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5"/>
        <v>0</v>
      </c>
    </row>
    <row r="359" spans="1:17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5"/>
        <v>0</v>
      </c>
    </row>
    <row r="360" spans="1:17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5"/>
        <v>0</v>
      </c>
    </row>
    <row r="361" spans="1:17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5"/>
        <v>0</v>
      </c>
    </row>
    <row r="362" spans="1:17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5"/>
        <v>0</v>
      </c>
    </row>
    <row r="363" spans="1:17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5"/>
        <v>0</v>
      </c>
    </row>
    <row r="364" spans="1:17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5"/>
        <v>0</v>
      </c>
    </row>
    <row r="365" spans="1:17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5"/>
        <v>0</v>
      </c>
    </row>
    <row r="366" spans="1:17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5"/>
        <v>0</v>
      </c>
    </row>
    <row r="367" spans="1:17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5"/>
        <v>0</v>
      </c>
    </row>
    <row r="368" spans="1:17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5"/>
        <v>0</v>
      </c>
    </row>
    <row r="369" spans="1:17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5"/>
        <v>0</v>
      </c>
    </row>
    <row r="370" spans="1:17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5"/>
        <v>0</v>
      </c>
    </row>
    <row r="371" spans="1:17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5"/>
        <v>0</v>
      </c>
    </row>
    <row r="372" spans="1:17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5"/>
        <v>0</v>
      </c>
    </row>
    <row r="373" spans="1:17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5"/>
        <v>0</v>
      </c>
    </row>
    <row r="374" spans="1:17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5"/>
        <v>0</v>
      </c>
    </row>
    <row r="375" spans="1:17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5"/>
        <v>0</v>
      </c>
    </row>
    <row r="376" spans="1:17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5"/>
        <v>0</v>
      </c>
    </row>
    <row r="377" spans="1:17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5"/>
        <v>0</v>
      </c>
    </row>
    <row r="378" spans="1:17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5"/>
        <v>0</v>
      </c>
    </row>
    <row r="379" spans="1:17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5"/>
        <v>0</v>
      </c>
    </row>
    <row r="380" spans="1:17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5"/>
        <v>0</v>
      </c>
    </row>
    <row r="381" spans="1:17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5"/>
        <v>0</v>
      </c>
    </row>
    <row r="382" spans="1:17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5"/>
        <v>0</v>
      </c>
    </row>
    <row r="383" spans="1:17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5"/>
        <v>0</v>
      </c>
    </row>
    <row r="384" spans="1:17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5"/>
        <v>0</v>
      </c>
    </row>
    <row r="385" spans="1:17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5"/>
        <v>0</v>
      </c>
    </row>
    <row r="386" spans="1:17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5"/>
        <v>0</v>
      </c>
    </row>
    <row r="387" spans="1:17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6">K387</f>
        <v>0</v>
      </c>
    </row>
    <row r="388" spans="1:17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6"/>
        <v>0</v>
      </c>
    </row>
    <row r="389" spans="1:17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6"/>
        <v>0</v>
      </c>
    </row>
    <row r="390" spans="1:17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6"/>
        <v>0</v>
      </c>
    </row>
    <row r="391" spans="1:17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6"/>
        <v>0</v>
      </c>
    </row>
    <row r="392" spans="1:17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6"/>
        <v>0</v>
      </c>
    </row>
    <row r="393" spans="1:17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6"/>
        <v>0</v>
      </c>
    </row>
    <row r="394" spans="1:17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6"/>
        <v>0</v>
      </c>
    </row>
    <row r="395" spans="1:17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6"/>
        <v>0</v>
      </c>
    </row>
    <row r="396" spans="1:17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6"/>
        <v>0</v>
      </c>
    </row>
    <row r="397" spans="1:17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6"/>
        <v>0</v>
      </c>
    </row>
    <row r="398" spans="1:17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6"/>
        <v>0</v>
      </c>
    </row>
    <row r="399" spans="1:17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6"/>
        <v>0</v>
      </c>
    </row>
    <row r="400" spans="1:17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6"/>
        <v>0</v>
      </c>
    </row>
    <row r="401" spans="1:17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6"/>
        <v>0</v>
      </c>
    </row>
    <row r="402" spans="1:17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6"/>
        <v>0</v>
      </c>
    </row>
    <row r="403" spans="1:17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6"/>
        <v>0</v>
      </c>
    </row>
    <row r="404" spans="1:17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6"/>
        <v>0</v>
      </c>
    </row>
    <row r="405" spans="1:17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6"/>
        <v>0</v>
      </c>
    </row>
    <row r="406" spans="1:17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6"/>
        <v>0</v>
      </c>
    </row>
    <row r="407" spans="1:17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6"/>
        <v>0</v>
      </c>
    </row>
    <row r="408" spans="1:17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6"/>
        <v>0</v>
      </c>
    </row>
    <row r="409" spans="1:17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6"/>
        <v>0</v>
      </c>
    </row>
    <row r="410" spans="1:17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6"/>
        <v>0</v>
      </c>
    </row>
    <row r="411" spans="1:17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6"/>
        <v>0</v>
      </c>
    </row>
    <row r="412" spans="1:17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6"/>
        <v>1</v>
      </c>
    </row>
    <row r="413" spans="1:17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6"/>
        <v>0</v>
      </c>
    </row>
    <row r="414" spans="1:17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6"/>
        <v>0</v>
      </c>
    </row>
    <row r="415" spans="1:17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6"/>
        <v>0</v>
      </c>
    </row>
    <row r="416" spans="1:17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6"/>
        <v>0</v>
      </c>
    </row>
    <row r="417" spans="1:17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6"/>
        <v>0</v>
      </c>
    </row>
    <row r="418" spans="1:17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6"/>
        <v>0</v>
      </c>
    </row>
    <row r="419" spans="1:17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6"/>
        <v>0</v>
      </c>
    </row>
    <row r="420" spans="1:17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6"/>
        <v>0</v>
      </c>
    </row>
    <row r="421" spans="1:17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6"/>
        <v>0</v>
      </c>
    </row>
    <row r="422" spans="1:17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6"/>
        <v>0</v>
      </c>
    </row>
    <row r="423" spans="1:17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6"/>
        <v>0</v>
      </c>
    </row>
    <row r="424" spans="1:17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6"/>
        <v>0</v>
      </c>
    </row>
    <row r="425" spans="1:17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6"/>
        <v>0</v>
      </c>
    </row>
    <row r="426" spans="1:17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6"/>
        <v>0</v>
      </c>
    </row>
    <row r="427" spans="1:17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6"/>
        <v>0</v>
      </c>
    </row>
    <row r="428" spans="1:17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6"/>
        <v>0</v>
      </c>
    </row>
    <row r="429" spans="1:17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6"/>
        <v>0</v>
      </c>
    </row>
    <row r="430" spans="1:17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6"/>
        <v>0</v>
      </c>
    </row>
    <row r="431" spans="1:17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6"/>
        <v>0</v>
      </c>
    </row>
    <row r="432" spans="1:17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6"/>
        <v>0</v>
      </c>
    </row>
    <row r="433" spans="1:17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6"/>
        <v>0</v>
      </c>
    </row>
    <row r="434" spans="1:17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6"/>
        <v>0</v>
      </c>
    </row>
    <row r="435" spans="1:17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6"/>
        <v>0</v>
      </c>
    </row>
    <row r="436" spans="1:17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6"/>
        <v>0</v>
      </c>
    </row>
    <row r="437" spans="1:17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6"/>
        <v>0</v>
      </c>
    </row>
    <row r="438" spans="1:17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6"/>
        <v>0</v>
      </c>
    </row>
    <row r="439" spans="1:17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6"/>
        <v>0</v>
      </c>
    </row>
    <row r="440" spans="1:17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6"/>
        <v>0</v>
      </c>
    </row>
    <row r="441" spans="1:17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6"/>
        <v>1</v>
      </c>
    </row>
    <row r="442" spans="1:17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6"/>
        <v>0</v>
      </c>
    </row>
    <row r="443" spans="1:17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6"/>
        <v>0</v>
      </c>
    </row>
    <row r="444" spans="1:17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6"/>
        <v>0</v>
      </c>
    </row>
    <row r="445" spans="1:17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6"/>
        <v>0</v>
      </c>
    </row>
    <row r="446" spans="1:17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6"/>
        <v>0</v>
      </c>
    </row>
    <row r="447" spans="1:17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6"/>
        <v>0</v>
      </c>
    </row>
    <row r="448" spans="1:17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6"/>
        <v>0</v>
      </c>
    </row>
    <row r="449" spans="1:17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6"/>
        <v>0</v>
      </c>
    </row>
    <row r="450" spans="1:17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6"/>
        <v>0</v>
      </c>
    </row>
    <row r="451" spans="1:17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7">K451</f>
        <v>0</v>
      </c>
    </row>
    <row r="452" spans="1:17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7"/>
        <v>0</v>
      </c>
    </row>
    <row r="453" spans="1:17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7"/>
        <v>0</v>
      </c>
    </row>
    <row r="454" spans="1:17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7"/>
        <v>0</v>
      </c>
    </row>
    <row r="455" spans="1:17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7"/>
        <v>0</v>
      </c>
    </row>
    <row r="456" spans="1:17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7"/>
        <v>0</v>
      </c>
    </row>
    <row r="457" spans="1:17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7"/>
        <v>0</v>
      </c>
    </row>
    <row r="458" spans="1:17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7"/>
        <v>0</v>
      </c>
    </row>
    <row r="459" spans="1:17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7"/>
        <v>0</v>
      </c>
    </row>
    <row r="460" spans="1:17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7"/>
        <v>0</v>
      </c>
    </row>
    <row r="461" spans="1:17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7"/>
        <v>0</v>
      </c>
    </row>
    <row r="462" spans="1:17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7"/>
        <v>0</v>
      </c>
    </row>
    <row r="463" spans="1:17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7"/>
        <v>0</v>
      </c>
    </row>
    <row r="464" spans="1:17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7"/>
        <v>0</v>
      </c>
    </row>
    <row r="465" spans="1:17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7"/>
        <v>0</v>
      </c>
    </row>
    <row r="466" spans="1:17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7"/>
        <v>0</v>
      </c>
    </row>
    <row r="467" spans="1:17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7"/>
        <v>0</v>
      </c>
    </row>
    <row r="468" spans="1:17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7"/>
        <v>0</v>
      </c>
    </row>
    <row r="469" spans="1:17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7"/>
        <v>0</v>
      </c>
    </row>
    <row r="470" spans="1:17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7"/>
        <v>0</v>
      </c>
    </row>
    <row r="471" spans="1:17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7"/>
        <v>0</v>
      </c>
    </row>
    <row r="472" spans="1:17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7"/>
        <v>0</v>
      </c>
    </row>
    <row r="473" spans="1:17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7"/>
        <v>0</v>
      </c>
    </row>
    <row r="474" spans="1:17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7"/>
        <v>0</v>
      </c>
    </row>
    <row r="475" spans="1:17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7"/>
        <v>0</v>
      </c>
    </row>
    <row r="476" spans="1:17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7"/>
        <v>0</v>
      </c>
    </row>
    <row r="477" spans="1:17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7"/>
        <v>0</v>
      </c>
    </row>
    <row r="478" spans="1:17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7"/>
        <v>0</v>
      </c>
    </row>
    <row r="479" spans="1:17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7"/>
        <v>0</v>
      </c>
    </row>
    <row r="480" spans="1:17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7"/>
        <v>0</v>
      </c>
    </row>
    <row r="481" spans="1:17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7"/>
        <v>0</v>
      </c>
    </row>
    <row r="482" spans="1:17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7"/>
        <v>0</v>
      </c>
    </row>
    <row r="483" spans="1:17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7"/>
        <v>0</v>
      </c>
    </row>
    <row r="484" spans="1:17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7"/>
        <v>0</v>
      </c>
    </row>
    <row r="485" spans="1:17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7"/>
        <v>0</v>
      </c>
    </row>
    <row r="486" spans="1:17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7"/>
        <v>0</v>
      </c>
    </row>
    <row r="487" spans="1:17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7"/>
        <v>0</v>
      </c>
    </row>
    <row r="488" spans="1:17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7"/>
        <v>0</v>
      </c>
    </row>
    <row r="489" spans="1:17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7"/>
        <v>0</v>
      </c>
    </row>
    <row r="490" spans="1:17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7"/>
        <v>0</v>
      </c>
    </row>
    <row r="491" spans="1:17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7"/>
        <v>0</v>
      </c>
    </row>
    <row r="492" spans="1:17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7"/>
        <v>0</v>
      </c>
    </row>
    <row r="493" spans="1:17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7"/>
        <v>0</v>
      </c>
    </row>
    <row r="494" spans="1:17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7"/>
        <v>0</v>
      </c>
    </row>
    <row r="495" spans="1:17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7"/>
        <v>0</v>
      </c>
    </row>
    <row r="496" spans="1:17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7"/>
        <v>0</v>
      </c>
    </row>
    <row r="497" spans="1:17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7"/>
        <v>0</v>
      </c>
    </row>
    <row r="498" spans="1:17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7"/>
        <v>0</v>
      </c>
    </row>
    <row r="499" spans="1:17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7"/>
        <v>0</v>
      </c>
    </row>
    <row r="500" spans="1:17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7"/>
        <v>0</v>
      </c>
    </row>
    <row r="501" spans="1:17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7"/>
        <v>0</v>
      </c>
    </row>
    <row r="502" spans="1:17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7"/>
        <v>1</v>
      </c>
    </row>
    <row r="503" spans="1:17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7"/>
        <v>0</v>
      </c>
    </row>
    <row r="504" spans="1:17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7"/>
        <v>0</v>
      </c>
    </row>
    <row r="505" spans="1:17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7"/>
        <v>0</v>
      </c>
    </row>
    <row r="506" spans="1:17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7"/>
        <v>0</v>
      </c>
    </row>
    <row r="507" spans="1:17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7"/>
        <v>0</v>
      </c>
    </row>
    <row r="508" spans="1:17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7"/>
        <v>0</v>
      </c>
    </row>
    <row r="509" spans="1:17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7"/>
        <v>0</v>
      </c>
    </row>
    <row r="510" spans="1:17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7"/>
        <v>0</v>
      </c>
    </row>
    <row r="511" spans="1:17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7"/>
        <v>0</v>
      </c>
    </row>
    <row r="512" spans="1:17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7"/>
        <v>0</v>
      </c>
    </row>
    <row r="513" spans="1:17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7"/>
        <v>0</v>
      </c>
    </row>
    <row r="514" spans="1:17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7"/>
        <v>0</v>
      </c>
    </row>
    <row r="515" spans="1:17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8">K515</f>
        <v>0</v>
      </c>
    </row>
    <row r="516" spans="1:17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8"/>
        <v>0</v>
      </c>
    </row>
    <row r="517" spans="1:17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8"/>
        <v>0</v>
      </c>
    </row>
    <row r="518" spans="1:17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8"/>
        <v>0</v>
      </c>
    </row>
    <row r="519" spans="1:17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8"/>
        <v>0</v>
      </c>
    </row>
    <row r="520" spans="1:17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8"/>
        <v>0</v>
      </c>
    </row>
    <row r="521" spans="1:17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8"/>
        <v>0</v>
      </c>
    </row>
    <row r="522" spans="1:17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8"/>
        <v>0</v>
      </c>
    </row>
    <row r="523" spans="1:17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8"/>
        <v>0</v>
      </c>
    </row>
    <row r="524" spans="1:17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8"/>
        <v>0</v>
      </c>
    </row>
    <row r="525" spans="1:17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8"/>
        <v>0</v>
      </c>
    </row>
    <row r="526" spans="1:17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8"/>
        <v>0</v>
      </c>
    </row>
    <row r="527" spans="1:17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8"/>
        <v>0</v>
      </c>
    </row>
    <row r="528" spans="1:17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8"/>
        <v>0</v>
      </c>
    </row>
    <row r="529" spans="1:17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8"/>
        <v>0</v>
      </c>
    </row>
    <row r="530" spans="1:17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8"/>
        <v>0</v>
      </c>
    </row>
    <row r="531" spans="1:17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8"/>
        <v>0</v>
      </c>
    </row>
    <row r="532" spans="1:17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8"/>
        <v>0</v>
      </c>
    </row>
    <row r="533" spans="1:17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8"/>
        <v>0</v>
      </c>
    </row>
    <row r="534" spans="1:17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8"/>
        <v>0</v>
      </c>
    </row>
    <row r="535" spans="1:17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8"/>
        <v>0</v>
      </c>
    </row>
    <row r="536" spans="1:17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8"/>
        <v>0</v>
      </c>
    </row>
    <row r="537" spans="1:17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8"/>
        <v>0</v>
      </c>
    </row>
    <row r="538" spans="1:17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8"/>
        <v>0</v>
      </c>
    </row>
    <row r="539" spans="1:17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8"/>
        <v>0</v>
      </c>
    </row>
    <row r="540" spans="1:17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8"/>
        <v>0</v>
      </c>
    </row>
    <row r="541" spans="1:17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8"/>
        <v>0</v>
      </c>
    </row>
    <row r="542" spans="1:17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8"/>
        <v>0</v>
      </c>
    </row>
    <row r="543" spans="1:17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8"/>
        <v>0</v>
      </c>
    </row>
    <row r="544" spans="1:17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8"/>
        <v>0</v>
      </c>
    </row>
    <row r="545" spans="1:17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8"/>
        <v>0</v>
      </c>
    </row>
    <row r="546" spans="1:17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8"/>
        <v>0</v>
      </c>
    </row>
    <row r="547" spans="1:17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8"/>
        <v>0</v>
      </c>
    </row>
    <row r="548" spans="1:17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8"/>
        <v>0</v>
      </c>
    </row>
    <row r="549" spans="1:17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8"/>
        <v>0</v>
      </c>
    </row>
    <row r="550" spans="1:17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8"/>
        <v>0</v>
      </c>
    </row>
    <row r="551" spans="1:17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8"/>
        <v>0</v>
      </c>
    </row>
    <row r="552" spans="1:17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8"/>
        <v>0</v>
      </c>
    </row>
    <row r="553" spans="1:17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8"/>
        <v>0</v>
      </c>
    </row>
    <row r="554" spans="1:17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8"/>
        <v>0</v>
      </c>
    </row>
    <row r="555" spans="1:17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8"/>
        <v>0</v>
      </c>
    </row>
    <row r="556" spans="1:17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8"/>
        <v>0</v>
      </c>
    </row>
    <row r="557" spans="1:17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8"/>
        <v>0</v>
      </c>
    </row>
    <row r="558" spans="1:17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8"/>
        <v>0</v>
      </c>
    </row>
    <row r="559" spans="1:17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8"/>
        <v>0</v>
      </c>
    </row>
    <row r="560" spans="1:17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8"/>
        <v>0</v>
      </c>
    </row>
    <row r="561" spans="1:17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8"/>
        <v>0</v>
      </c>
    </row>
    <row r="562" spans="1:17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8"/>
        <v>0</v>
      </c>
    </row>
    <row r="563" spans="1:17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8"/>
        <v>0</v>
      </c>
    </row>
    <row r="564" spans="1:17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8"/>
        <v>0</v>
      </c>
    </row>
    <row r="565" spans="1:17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8"/>
        <v>0</v>
      </c>
    </row>
    <row r="566" spans="1:17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8"/>
        <v>0</v>
      </c>
    </row>
    <row r="567" spans="1:17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8"/>
        <v>0</v>
      </c>
    </row>
    <row r="568" spans="1:17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8"/>
        <v>0</v>
      </c>
    </row>
    <row r="569" spans="1:17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8"/>
        <v>0</v>
      </c>
    </row>
    <row r="570" spans="1:17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8"/>
        <v>0</v>
      </c>
    </row>
    <row r="571" spans="1:17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8"/>
        <v>0</v>
      </c>
    </row>
    <row r="572" spans="1:17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8"/>
        <v>0</v>
      </c>
    </row>
    <row r="573" spans="1:17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8"/>
        <v>0</v>
      </c>
    </row>
    <row r="574" spans="1:17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8"/>
        <v>0</v>
      </c>
    </row>
    <row r="575" spans="1:17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8"/>
        <v>0</v>
      </c>
    </row>
    <row r="576" spans="1:17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8"/>
        <v>0</v>
      </c>
    </row>
    <row r="577" spans="1:17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8"/>
        <v>0</v>
      </c>
    </row>
    <row r="578" spans="1:17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8"/>
        <v>0</v>
      </c>
    </row>
    <row r="579" spans="1:17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9">K579</f>
        <v>0</v>
      </c>
    </row>
    <row r="580" spans="1:17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9"/>
        <v>0</v>
      </c>
    </row>
    <row r="581" spans="1:17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9"/>
        <v>0</v>
      </c>
    </row>
    <row r="582" spans="1:17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9"/>
        <v>0</v>
      </c>
    </row>
    <row r="583" spans="1:17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9"/>
        <v>0</v>
      </c>
    </row>
    <row r="584" spans="1:17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9"/>
        <v>0</v>
      </c>
    </row>
    <row r="585" spans="1:17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9"/>
        <v>0</v>
      </c>
    </row>
    <row r="586" spans="1:17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9"/>
        <v>0</v>
      </c>
    </row>
    <row r="587" spans="1:17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9"/>
        <v>0</v>
      </c>
    </row>
    <row r="588" spans="1:17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9"/>
        <v>0</v>
      </c>
    </row>
    <row r="589" spans="1:17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9"/>
        <v>0</v>
      </c>
    </row>
    <row r="590" spans="1:17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9"/>
        <v>0</v>
      </c>
    </row>
    <row r="591" spans="1:17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9"/>
        <v>0</v>
      </c>
    </row>
    <row r="592" spans="1:17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9"/>
        <v>0</v>
      </c>
    </row>
    <row r="593" spans="1:17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9"/>
        <v>0</v>
      </c>
    </row>
    <row r="594" spans="1:17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9"/>
        <v>0</v>
      </c>
    </row>
    <row r="595" spans="1:17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9"/>
        <v>1</v>
      </c>
    </row>
    <row r="596" spans="1:17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9"/>
        <v>0</v>
      </c>
    </row>
    <row r="597" spans="1:17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9"/>
        <v>0</v>
      </c>
    </row>
    <row r="598" spans="1:17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9"/>
        <v>0</v>
      </c>
    </row>
    <row r="599" spans="1:17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9"/>
        <v>0</v>
      </c>
    </row>
    <row r="600" spans="1:17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9"/>
        <v>0</v>
      </c>
    </row>
    <row r="601" spans="1:17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9"/>
        <v>0</v>
      </c>
    </row>
    <row r="602" spans="1:17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9"/>
        <v>0</v>
      </c>
    </row>
    <row r="603" spans="1:17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9"/>
        <v>0</v>
      </c>
    </row>
    <row r="604" spans="1:17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9"/>
        <v>0</v>
      </c>
    </row>
    <row r="605" spans="1:17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9"/>
        <v>0</v>
      </c>
    </row>
    <row r="606" spans="1:17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9"/>
        <v>0</v>
      </c>
    </row>
    <row r="607" spans="1:17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9"/>
        <v>0</v>
      </c>
    </row>
    <row r="608" spans="1:17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9"/>
        <v>0</v>
      </c>
    </row>
    <row r="609" spans="1:17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9"/>
        <v>0</v>
      </c>
    </row>
    <row r="610" spans="1:17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9"/>
        <v>0</v>
      </c>
    </row>
    <row r="611" spans="1:17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9"/>
        <v>0</v>
      </c>
    </row>
    <row r="612" spans="1:17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9"/>
        <v>0</v>
      </c>
    </row>
    <row r="613" spans="1:17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9"/>
        <v>0</v>
      </c>
    </row>
    <row r="614" spans="1:17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9"/>
        <v>0</v>
      </c>
    </row>
    <row r="615" spans="1:17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9"/>
        <v>0</v>
      </c>
    </row>
    <row r="616" spans="1:17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9"/>
        <v>0</v>
      </c>
    </row>
    <row r="617" spans="1:17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9"/>
        <v>0</v>
      </c>
    </row>
    <row r="618" spans="1:17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9"/>
        <v>0</v>
      </c>
    </row>
    <row r="619" spans="1:17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9"/>
        <v>0</v>
      </c>
    </row>
    <row r="620" spans="1:17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9"/>
        <v>0</v>
      </c>
    </row>
    <row r="621" spans="1:17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9"/>
        <v>0</v>
      </c>
    </row>
    <row r="622" spans="1:17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9"/>
        <v>0</v>
      </c>
    </row>
    <row r="623" spans="1:17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9"/>
        <v>0</v>
      </c>
    </row>
    <row r="624" spans="1:17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9"/>
        <v>0</v>
      </c>
    </row>
    <row r="625" spans="1:17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9"/>
        <v>0</v>
      </c>
    </row>
    <row r="626" spans="1:17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9"/>
        <v>0</v>
      </c>
    </row>
    <row r="627" spans="1:17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9"/>
        <v>0</v>
      </c>
    </row>
    <row r="628" spans="1:17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9"/>
        <v>0</v>
      </c>
    </row>
    <row r="629" spans="1:17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9"/>
        <v>0</v>
      </c>
    </row>
    <row r="630" spans="1:17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9"/>
        <v>0</v>
      </c>
    </row>
    <row r="631" spans="1:17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9"/>
        <v>0</v>
      </c>
    </row>
    <row r="632" spans="1:17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9"/>
        <v>0</v>
      </c>
    </row>
    <row r="633" spans="1:17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9"/>
        <v>0</v>
      </c>
    </row>
    <row r="634" spans="1:17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9"/>
        <v>0</v>
      </c>
    </row>
    <row r="635" spans="1:17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9"/>
        <v>0</v>
      </c>
    </row>
    <row r="636" spans="1:17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9"/>
        <v>0</v>
      </c>
    </row>
    <row r="637" spans="1:17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9"/>
        <v>0</v>
      </c>
    </row>
    <row r="638" spans="1:17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9"/>
        <v>0</v>
      </c>
    </row>
    <row r="639" spans="1:17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9"/>
        <v>0</v>
      </c>
    </row>
    <row r="640" spans="1:17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9"/>
        <v>0</v>
      </c>
    </row>
    <row r="641" spans="1:17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9"/>
        <v>0</v>
      </c>
    </row>
    <row r="642" spans="1:17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9"/>
        <v>0</v>
      </c>
    </row>
    <row r="643" spans="1:17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10">K643</f>
        <v>0</v>
      </c>
    </row>
    <row r="644" spans="1:17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10"/>
        <v>0</v>
      </c>
    </row>
    <row r="645" spans="1:17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10"/>
        <v>0</v>
      </c>
    </row>
    <row r="646" spans="1:17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10"/>
        <v>0</v>
      </c>
    </row>
    <row r="647" spans="1:17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10"/>
        <v>0</v>
      </c>
    </row>
    <row r="648" spans="1:17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10"/>
        <v>0</v>
      </c>
    </row>
    <row r="649" spans="1:17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10"/>
        <v>0</v>
      </c>
    </row>
    <row r="650" spans="1:17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10"/>
        <v>0</v>
      </c>
    </row>
    <row r="651" spans="1:17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10"/>
        <v>0</v>
      </c>
    </row>
    <row r="652" spans="1:17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10"/>
        <v>0</v>
      </c>
    </row>
    <row r="653" spans="1:17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10"/>
        <v>0</v>
      </c>
    </row>
    <row r="654" spans="1:17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10"/>
        <v>0</v>
      </c>
    </row>
    <row r="655" spans="1:17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10"/>
        <v>0</v>
      </c>
    </row>
    <row r="656" spans="1:17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10"/>
        <v>0</v>
      </c>
    </row>
    <row r="657" spans="1:17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10"/>
        <v>0</v>
      </c>
    </row>
    <row r="658" spans="1:17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10"/>
        <v>0</v>
      </c>
    </row>
    <row r="659" spans="1:17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10"/>
        <v>0</v>
      </c>
    </row>
    <row r="660" spans="1:17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10"/>
        <v>0</v>
      </c>
    </row>
    <row r="661" spans="1:17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10"/>
        <v>1</v>
      </c>
    </row>
    <row r="662" spans="1:17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10"/>
        <v>0</v>
      </c>
    </row>
    <row r="663" spans="1:17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10"/>
        <v>0</v>
      </c>
    </row>
    <row r="664" spans="1:17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10"/>
        <v>0</v>
      </c>
    </row>
    <row r="665" spans="1:17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10"/>
        <v>0</v>
      </c>
    </row>
    <row r="666" spans="1:17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10"/>
        <v>0</v>
      </c>
    </row>
    <row r="667" spans="1:17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10"/>
        <v>0</v>
      </c>
    </row>
    <row r="668" spans="1:17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10"/>
        <v>0</v>
      </c>
    </row>
    <row r="669" spans="1:17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10"/>
        <v>0</v>
      </c>
    </row>
    <row r="670" spans="1:17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10"/>
        <v>0</v>
      </c>
    </row>
    <row r="671" spans="1:17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10"/>
        <v>0</v>
      </c>
    </row>
    <row r="672" spans="1:17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10"/>
        <v>0</v>
      </c>
    </row>
    <row r="673" spans="1:17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10"/>
        <v>0</v>
      </c>
    </row>
    <row r="674" spans="1:17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10"/>
        <v>0</v>
      </c>
    </row>
    <row r="675" spans="1:17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10"/>
        <v>0</v>
      </c>
    </row>
    <row r="676" spans="1:17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10"/>
        <v>0</v>
      </c>
    </row>
    <row r="677" spans="1:17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10"/>
        <v>0</v>
      </c>
    </row>
    <row r="678" spans="1:17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10"/>
        <v>0</v>
      </c>
    </row>
    <row r="679" spans="1:17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10"/>
        <v>0</v>
      </c>
    </row>
    <row r="680" spans="1:17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10"/>
        <v>0</v>
      </c>
    </row>
    <row r="681" spans="1:17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10"/>
        <v>0</v>
      </c>
    </row>
    <row r="682" spans="1:17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10"/>
        <v>0</v>
      </c>
    </row>
    <row r="683" spans="1:17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10"/>
        <v>0</v>
      </c>
    </row>
    <row r="684" spans="1:17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10"/>
        <v>0</v>
      </c>
    </row>
    <row r="685" spans="1:17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10"/>
        <v>0</v>
      </c>
    </row>
    <row r="686" spans="1:17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10"/>
        <v>0</v>
      </c>
    </row>
    <row r="687" spans="1:17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10"/>
        <v>0</v>
      </c>
    </row>
    <row r="688" spans="1:17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10"/>
        <v>0</v>
      </c>
    </row>
    <row r="689" spans="1:17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10"/>
        <v>0</v>
      </c>
    </row>
    <row r="690" spans="1:17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10"/>
        <v>0</v>
      </c>
    </row>
    <row r="691" spans="1:17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10"/>
        <v>0</v>
      </c>
    </row>
    <row r="692" spans="1:17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10"/>
        <v>0</v>
      </c>
    </row>
    <row r="693" spans="1:17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10"/>
        <v>0</v>
      </c>
    </row>
    <row r="694" spans="1:17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10"/>
        <v>0</v>
      </c>
    </row>
    <row r="695" spans="1:17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10"/>
        <v>0</v>
      </c>
    </row>
    <row r="696" spans="1:17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10"/>
        <v>0</v>
      </c>
    </row>
    <row r="697" spans="1:17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10"/>
        <v>0</v>
      </c>
    </row>
    <row r="698" spans="1:17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10"/>
        <v>0</v>
      </c>
    </row>
    <row r="699" spans="1:17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10"/>
        <v>0</v>
      </c>
    </row>
    <row r="700" spans="1:17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10"/>
        <v>0</v>
      </c>
    </row>
    <row r="701" spans="1:17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10"/>
        <v>0</v>
      </c>
    </row>
    <row r="702" spans="1:17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10"/>
        <v>1</v>
      </c>
    </row>
    <row r="703" spans="1:17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10"/>
        <v>0</v>
      </c>
    </row>
    <row r="704" spans="1:17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10"/>
        <v>0</v>
      </c>
    </row>
    <row r="705" spans="1:17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10"/>
        <v>0</v>
      </c>
    </row>
    <row r="706" spans="1:17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si="10"/>
        <v>0</v>
      </c>
    </row>
    <row r="707" spans="1:17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ref="Q707:Q770" si="11">K707</f>
        <v>0</v>
      </c>
    </row>
    <row r="708" spans="1:17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11"/>
        <v>0</v>
      </c>
    </row>
    <row r="709" spans="1:17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11"/>
        <v>0</v>
      </c>
    </row>
    <row r="710" spans="1:17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11"/>
        <v>0</v>
      </c>
    </row>
    <row r="711" spans="1:17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11"/>
        <v>0</v>
      </c>
    </row>
    <row r="712" spans="1:17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11"/>
        <v>0</v>
      </c>
    </row>
    <row r="713" spans="1:17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11"/>
        <v>0</v>
      </c>
    </row>
    <row r="714" spans="1:17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11"/>
        <v>1</v>
      </c>
    </row>
    <row r="715" spans="1:17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11"/>
        <v>1</v>
      </c>
    </row>
    <row r="716" spans="1:17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11"/>
        <v>0</v>
      </c>
    </row>
    <row r="717" spans="1:17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11"/>
        <v>0</v>
      </c>
    </row>
    <row r="718" spans="1:17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11"/>
        <v>0</v>
      </c>
    </row>
    <row r="719" spans="1:17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11"/>
        <v>0</v>
      </c>
    </row>
    <row r="720" spans="1:17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11"/>
        <v>0</v>
      </c>
    </row>
    <row r="721" spans="1:17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11"/>
        <v>0</v>
      </c>
    </row>
    <row r="722" spans="1:17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11"/>
        <v>0</v>
      </c>
    </row>
    <row r="723" spans="1:17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11"/>
        <v>0</v>
      </c>
    </row>
    <row r="724" spans="1:17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11"/>
        <v>0</v>
      </c>
    </row>
    <row r="725" spans="1:17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11"/>
        <v>0</v>
      </c>
    </row>
    <row r="726" spans="1:17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11"/>
        <v>0</v>
      </c>
    </row>
    <row r="727" spans="1:17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11"/>
        <v>0</v>
      </c>
    </row>
    <row r="728" spans="1:17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11"/>
        <v>0</v>
      </c>
    </row>
    <row r="729" spans="1:17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11"/>
        <v>1</v>
      </c>
    </row>
    <row r="730" spans="1:17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11"/>
        <v>0</v>
      </c>
    </row>
    <row r="731" spans="1:17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11"/>
        <v>0</v>
      </c>
    </row>
    <row r="732" spans="1:17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11"/>
        <v>0</v>
      </c>
    </row>
    <row r="733" spans="1:17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11"/>
        <v>1</v>
      </c>
    </row>
    <row r="734" spans="1:17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11"/>
        <v>0</v>
      </c>
    </row>
    <row r="735" spans="1:17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11"/>
        <v>0</v>
      </c>
    </row>
    <row r="736" spans="1:17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11"/>
        <v>0</v>
      </c>
    </row>
    <row r="737" spans="1:17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11"/>
        <v>0</v>
      </c>
    </row>
    <row r="738" spans="1:17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11"/>
        <v>0</v>
      </c>
    </row>
    <row r="739" spans="1:17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11"/>
        <v>0</v>
      </c>
    </row>
    <row r="740" spans="1:17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11"/>
        <v>0</v>
      </c>
    </row>
    <row r="741" spans="1:17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11"/>
        <v>0</v>
      </c>
    </row>
    <row r="742" spans="1:17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11"/>
        <v>0</v>
      </c>
    </row>
    <row r="743" spans="1:17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11"/>
        <v>0</v>
      </c>
    </row>
    <row r="744" spans="1:17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11"/>
        <v>0</v>
      </c>
    </row>
    <row r="745" spans="1:17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11"/>
        <v>0</v>
      </c>
    </row>
    <row r="746" spans="1:17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11"/>
        <v>0</v>
      </c>
    </row>
    <row r="747" spans="1:17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11"/>
        <v>0</v>
      </c>
    </row>
    <row r="748" spans="1:17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11"/>
        <v>0</v>
      </c>
    </row>
    <row r="749" spans="1:17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11"/>
        <v>0</v>
      </c>
    </row>
    <row r="750" spans="1:17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11"/>
        <v>0</v>
      </c>
    </row>
    <row r="751" spans="1:17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11"/>
        <v>0</v>
      </c>
    </row>
    <row r="752" spans="1:17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11"/>
        <v>0</v>
      </c>
    </row>
    <row r="753" spans="1:17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11"/>
        <v>0</v>
      </c>
    </row>
    <row r="754" spans="1:17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11"/>
        <v>0</v>
      </c>
    </row>
    <row r="755" spans="1:17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11"/>
        <v>0</v>
      </c>
    </row>
    <row r="756" spans="1:17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11"/>
        <v>0</v>
      </c>
    </row>
    <row r="757" spans="1:17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11"/>
        <v>0</v>
      </c>
    </row>
    <row r="758" spans="1:17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11"/>
        <v>0</v>
      </c>
    </row>
    <row r="759" spans="1:17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11"/>
        <v>1</v>
      </c>
    </row>
    <row r="760" spans="1:17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11"/>
        <v>0</v>
      </c>
    </row>
    <row r="761" spans="1:17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11"/>
        <v>0</v>
      </c>
    </row>
    <row r="762" spans="1:17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11"/>
        <v>0</v>
      </c>
    </row>
    <row r="763" spans="1:17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11"/>
        <v>0</v>
      </c>
    </row>
    <row r="764" spans="1:17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11"/>
        <v>0</v>
      </c>
    </row>
    <row r="765" spans="1:17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11"/>
        <v>0</v>
      </c>
    </row>
    <row r="766" spans="1:17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11"/>
        <v>0</v>
      </c>
    </row>
    <row r="767" spans="1:17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11"/>
        <v>0</v>
      </c>
    </row>
    <row r="768" spans="1:17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11"/>
        <v>0</v>
      </c>
    </row>
    <row r="769" spans="1:17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11"/>
        <v>0</v>
      </c>
    </row>
    <row r="770" spans="1:17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si="11"/>
        <v>0</v>
      </c>
    </row>
    <row r="771" spans="1:17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ref="Q771:Q834" si="12">K771</f>
        <v>0</v>
      </c>
    </row>
    <row r="772" spans="1:17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12"/>
        <v>0</v>
      </c>
    </row>
    <row r="773" spans="1:17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12"/>
        <v>0</v>
      </c>
    </row>
    <row r="774" spans="1:17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12"/>
        <v>0</v>
      </c>
    </row>
    <row r="775" spans="1:17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12"/>
        <v>0</v>
      </c>
    </row>
    <row r="776" spans="1:17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12"/>
        <v>0</v>
      </c>
    </row>
    <row r="777" spans="1:17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12"/>
        <v>0</v>
      </c>
    </row>
    <row r="778" spans="1:17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12"/>
        <v>0</v>
      </c>
    </row>
    <row r="779" spans="1:17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12"/>
        <v>0</v>
      </c>
    </row>
    <row r="780" spans="1:17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12"/>
        <v>0</v>
      </c>
    </row>
    <row r="781" spans="1:17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12"/>
        <v>0</v>
      </c>
    </row>
    <row r="782" spans="1:17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12"/>
        <v>0</v>
      </c>
    </row>
    <row r="783" spans="1:17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12"/>
        <v>0</v>
      </c>
    </row>
    <row r="784" spans="1:17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12"/>
        <v>0</v>
      </c>
    </row>
    <row r="785" spans="1:17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12"/>
        <v>0</v>
      </c>
    </row>
    <row r="786" spans="1:17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12"/>
        <v>0</v>
      </c>
    </row>
    <row r="787" spans="1:17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12"/>
        <v>0</v>
      </c>
    </row>
    <row r="788" spans="1:17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12"/>
        <v>0</v>
      </c>
    </row>
    <row r="789" spans="1:17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12"/>
        <v>0</v>
      </c>
    </row>
    <row r="790" spans="1:17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12"/>
        <v>0</v>
      </c>
    </row>
    <row r="791" spans="1:17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12"/>
        <v>0</v>
      </c>
    </row>
    <row r="792" spans="1:17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12"/>
        <v>0</v>
      </c>
    </row>
    <row r="793" spans="1:17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12"/>
        <v>0</v>
      </c>
    </row>
    <row r="794" spans="1:17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12"/>
        <v>0</v>
      </c>
    </row>
    <row r="795" spans="1:17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12"/>
        <v>0</v>
      </c>
    </row>
    <row r="796" spans="1:17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12"/>
        <v>0</v>
      </c>
    </row>
    <row r="797" spans="1:17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12"/>
        <v>0</v>
      </c>
    </row>
    <row r="798" spans="1:17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12"/>
        <v>0</v>
      </c>
    </row>
    <row r="799" spans="1:17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12"/>
        <v>0</v>
      </c>
    </row>
    <row r="800" spans="1:17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12"/>
        <v>0</v>
      </c>
    </row>
    <row r="801" spans="1:17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12"/>
        <v>0</v>
      </c>
    </row>
    <row r="802" spans="1:17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12"/>
        <v>0</v>
      </c>
    </row>
    <row r="803" spans="1:17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12"/>
        <v>0</v>
      </c>
    </row>
    <row r="804" spans="1:17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12"/>
        <v>0</v>
      </c>
    </row>
    <row r="805" spans="1:17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12"/>
        <v>0</v>
      </c>
    </row>
    <row r="806" spans="1:17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12"/>
        <v>1</v>
      </c>
    </row>
    <row r="807" spans="1:17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12"/>
        <v>0</v>
      </c>
    </row>
    <row r="808" spans="1:17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12"/>
        <v>0</v>
      </c>
    </row>
    <row r="809" spans="1:17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12"/>
        <v>0</v>
      </c>
    </row>
    <row r="810" spans="1:17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12"/>
        <v>0</v>
      </c>
    </row>
    <row r="811" spans="1:17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12"/>
        <v>0</v>
      </c>
    </row>
    <row r="812" spans="1:17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12"/>
        <v>0</v>
      </c>
    </row>
    <row r="813" spans="1:17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12"/>
        <v>0</v>
      </c>
    </row>
    <row r="814" spans="1:17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12"/>
        <v>0</v>
      </c>
    </row>
    <row r="815" spans="1:17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12"/>
        <v>1</v>
      </c>
    </row>
    <row r="816" spans="1:17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12"/>
        <v>0</v>
      </c>
    </row>
    <row r="817" spans="1:17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12"/>
        <v>0</v>
      </c>
    </row>
    <row r="818" spans="1:17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12"/>
        <v>0</v>
      </c>
    </row>
    <row r="819" spans="1:17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12"/>
        <v>0</v>
      </c>
    </row>
    <row r="820" spans="1:17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12"/>
        <v>1</v>
      </c>
    </row>
    <row r="821" spans="1:17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12"/>
        <v>0</v>
      </c>
    </row>
    <row r="822" spans="1:17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12"/>
        <v>0</v>
      </c>
    </row>
    <row r="823" spans="1:17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12"/>
        <v>0</v>
      </c>
    </row>
    <row r="824" spans="1:17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12"/>
        <v>0</v>
      </c>
    </row>
    <row r="825" spans="1:17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12"/>
        <v>0</v>
      </c>
    </row>
    <row r="826" spans="1:17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12"/>
        <v>1</v>
      </c>
    </row>
    <row r="827" spans="1:17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12"/>
        <v>0</v>
      </c>
    </row>
    <row r="828" spans="1:17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12"/>
        <v>0</v>
      </c>
    </row>
    <row r="829" spans="1:17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12"/>
        <v>0</v>
      </c>
    </row>
    <row r="830" spans="1:17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12"/>
        <v>0</v>
      </c>
    </row>
    <row r="831" spans="1:17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12"/>
        <v>1</v>
      </c>
    </row>
    <row r="832" spans="1:17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12"/>
        <v>0</v>
      </c>
    </row>
    <row r="833" spans="1:17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12"/>
        <v>0</v>
      </c>
    </row>
    <row r="834" spans="1:17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si="12"/>
        <v>1</v>
      </c>
    </row>
    <row r="835" spans="1:17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ref="Q835:Q898" si="13">K835</f>
        <v>0</v>
      </c>
    </row>
    <row r="836" spans="1:17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13"/>
        <v>0</v>
      </c>
    </row>
    <row r="837" spans="1:17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13"/>
        <v>1</v>
      </c>
    </row>
    <row r="838" spans="1:17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13"/>
        <v>1</v>
      </c>
    </row>
    <row r="839" spans="1:17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13"/>
        <v>0</v>
      </c>
    </row>
    <row r="840" spans="1:17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13"/>
        <v>0</v>
      </c>
    </row>
    <row r="841" spans="1:17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13"/>
        <v>0</v>
      </c>
    </row>
    <row r="842" spans="1:17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13"/>
        <v>0</v>
      </c>
    </row>
    <row r="843" spans="1:17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13"/>
        <v>0</v>
      </c>
    </row>
    <row r="844" spans="1:17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13"/>
        <v>0</v>
      </c>
    </row>
    <row r="845" spans="1:17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13"/>
        <v>0</v>
      </c>
    </row>
    <row r="846" spans="1:17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13"/>
        <v>0</v>
      </c>
    </row>
    <row r="847" spans="1:17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13"/>
        <v>0</v>
      </c>
    </row>
    <row r="848" spans="1:17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13"/>
        <v>0</v>
      </c>
    </row>
    <row r="849" spans="1:17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13"/>
        <v>0</v>
      </c>
    </row>
    <row r="850" spans="1:17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13"/>
        <v>0</v>
      </c>
    </row>
    <row r="851" spans="1:17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13"/>
        <v>0</v>
      </c>
    </row>
    <row r="852" spans="1:17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13"/>
        <v>0</v>
      </c>
    </row>
    <row r="853" spans="1:17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13"/>
        <v>0</v>
      </c>
    </row>
    <row r="854" spans="1:17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13"/>
        <v>0</v>
      </c>
    </row>
    <row r="855" spans="1:17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13"/>
        <v>0</v>
      </c>
    </row>
    <row r="856" spans="1:17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13"/>
        <v>1</v>
      </c>
    </row>
    <row r="857" spans="1:17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13"/>
        <v>0</v>
      </c>
    </row>
    <row r="858" spans="1:17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13"/>
        <v>0</v>
      </c>
    </row>
    <row r="859" spans="1:17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13"/>
        <v>0</v>
      </c>
    </row>
    <row r="860" spans="1:17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13"/>
        <v>1</v>
      </c>
    </row>
    <row r="861" spans="1:17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13"/>
        <v>0</v>
      </c>
    </row>
    <row r="862" spans="1:17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13"/>
        <v>0</v>
      </c>
    </row>
    <row r="863" spans="1:17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13"/>
        <v>0</v>
      </c>
    </row>
    <row r="864" spans="1:17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13"/>
        <v>0</v>
      </c>
    </row>
    <row r="865" spans="1:17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13"/>
        <v>0</v>
      </c>
    </row>
    <row r="866" spans="1:17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13"/>
        <v>0</v>
      </c>
    </row>
    <row r="867" spans="1:17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13"/>
        <v>0</v>
      </c>
    </row>
    <row r="868" spans="1:17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13"/>
        <v>0</v>
      </c>
    </row>
    <row r="869" spans="1:17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13"/>
        <v>0</v>
      </c>
    </row>
    <row r="870" spans="1:17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13"/>
        <v>0</v>
      </c>
    </row>
    <row r="871" spans="1:17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13"/>
        <v>0</v>
      </c>
    </row>
    <row r="872" spans="1:17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13"/>
        <v>0</v>
      </c>
    </row>
    <row r="873" spans="1:17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13"/>
        <v>0</v>
      </c>
    </row>
    <row r="874" spans="1:17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13"/>
        <v>0</v>
      </c>
    </row>
    <row r="875" spans="1:17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13"/>
        <v>0</v>
      </c>
    </row>
    <row r="876" spans="1:17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13"/>
        <v>0</v>
      </c>
    </row>
    <row r="877" spans="1:17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13"/>
        <v>0</v>
      </c>
    </row>
    <row r="878" spans="1:17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13"/>
        <v>0</v>
      </c>
    </row>
    <row r="879" spans="1:17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13"/>
        <v>0</v>
      </c>
    </row>
    <row r="880" spans="1:17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13"/>
        <v>0</v>
      </c>
    </row>
    <row r="881" spans="1:17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13"/>
        <v>0</v>
      </c>
    </row>
    <row r="882" spans="1:17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13"/>
        <v>0</v>
      </c>
    </row>
    <row r="883" spans="1:17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13"/>
        <v>0</v>
      </c>
    </row>
    <row r="884" spans="1:17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13"/>
        <v>0</v>
      </c>
    </row>
    <row r="885" spans="1:17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13"/>
        <v>0</v>
      </c>
    </row>
    <row r="886" spans="1:17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13"/>
        <v>0</v>
      </c>
    </row>
    <row r="887" spans="1:17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13"/>
        <v>0</v>
      </c>
    </row>
    <row r="888" spans="1:17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13"/>
        <v>0</v>
      </c>
    </row>
    <row r="889" spans="1:17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13"/>
        <v>0</v>
      </c>
    </row>
    <row r="890" spans="1:17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13"/>
        <v>1</v>
      </c>
    </row>
    <row r="891" spans="1:17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13"/>
        <v>0</v>
      </c>
    </row>
    <row r="892" spans="1:17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13"/>
        <v>0</v>
      </c>
    </row>
    <row r="893" spans="1:17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13"/>
        <v>0</v>
      </c>
    </row>
    <row r="894" spans="1:17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13"/>
        <v>0</v>
      </c>
    </row>
    <row r="895" spans="1:17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13"/>
        <v>0</v>
      </c>
    </row>
    <row r="896" spans="1:17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13"/>
        <v>0</v>
      </c>
    </row>
    <row r="897" spans="1:17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13"/>
        <v>0</v>
      </c>
    </row>
    <row r="898" spans="1:17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si="13"/>
        <v>0</v>
      </c>
    </row>
    <row r="899" spans="1:17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ref="Q899:Q962" si="14">K899</f>
        <v>0</v>
      </c>
    </row>
    <row r="900" spans="1:17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14"/>
        <v>0</v>
      </c>
    </row>
    <row r="901" spans="1:17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14"/>
        <v>0</v>
      </c>
    </row>
    <row r="902" spans="1:17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14"/>
        <v>0</v>
      </c>
    </row>
    <row r="903" spans="1:17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14"/>
        <v>0</v>
      </c>
    </row>
    <row r="904" spans="1:17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14"/>
        <v>0</v>
      </c>
    </row>
    <row r="905" spans="1:17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14"/>
        <v>0</v>
      </c>
    </row>
    <row r="906" spans="1:17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14"/>
        <v>1</v>
      </c>
    </row>
    <row r="907" spans="1:17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14"/>
        <v>0</v>
      </c>
    </row>
    <row r="908" spans="1:17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14"/>
        <v>0</v>
      </c>
    </row>
    <row r="909" spans="1:17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14"/>
        <v>0</v>
      </c>
    </row>
    <row r="910" spans="1:17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14"/>
        <v>0</v>
      </c>
    </row>
    <row r="911" spans="1:17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14"/>
        <v>0</v>
      </c>
    </row>
    <row r="912" spans="1:17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14"/>
        <v>0</v>
      </c>
    </row>
    <row r="913" spans="1:17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14"/>
        <v>0</v>
      </c>
    </row>
    <row r="914" spans="1:17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14"/>
        <v>0</v>
      </c>
    </row>
    <row r="915" spans="1:17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14"/>
        <v>0</v>
      </c>
    </row>
    <row r="916" spans="1:17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14"/>
        <v>0</v>
      </c>
    </row>
    <row r="917" spans="1:17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14"/>
        <v>0</v>
      </c>
    </row>
    <row r="918" spans="1:17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14"/>
        <v>0</v>
      </c>
    </row>
    <row r="919" spans="1:17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14"/>
        <v>0</v>
      </c>
    </row>
    <row r="920" spans="1:17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14"/>
        <v>0</v>
      </c>
    </row>
    <row r="921" spans="1:17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14"/>
        <v>0</v>
      </c>
    </row>
    <row r="922" spans="1:17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14"/>
        <v>1</v>
      </c>
    </row>
    <row r="923" spans="1:17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14"/>
        <v>0</v>
      </c>
    </row>
    <row r="924" spans="1:17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14"/>
        <v>0</v>
      </c>
    </row>
    <row r="925" spans="1:17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14"/>
        <v>0</v>
      </c>
    </row>
    <row r="926" spans="1:17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14"/>
        <v>0</v>
      </c>
    </row>
    <row r="927" spans="1:17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14"/>
        <v>0</v>
      </c>
    </row>
    <row r="928" spans="1:17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14"/>
        <v>0</v>
      </c>
    </row>
    <row r="929" spans="1:17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14"/>
        <v>0</v>
      </c>
    </row>
    <row r="930" spans="1:17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14"/>
        <v>0</v>
      </c>
    </row>
    <row r="931" spans="1:17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14"/>
        <v>0</v>
      </c>
    </row>
    <row r="932" spans="1:17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14"/>
        <v>1</v>
      </c>
    </row>
    <row r="933" spans="1:17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14"/>
        <v>0</v>
      </c>
    </row>
    <row r="934" spans="1:17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14"/>
        <v>0</v>
      </c>
    </row>
    <row r="935" spans="1:17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14"/>
        <v>0</v>
      </c>
    </row>
    <row r="936" spans="1:17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14"/>
        <v>0</v>
      </c>
    </row>
    <row r="937" spans="1:17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14"/>
        <v>0</v>
      </c>
    </row>
    <row r="938" spans="1:17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14"/>
        <v>0</v>
      </c>
    </row>
    <row r="939" spans="1:17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14"/>
        <v>0</v>
      </c>
    </row>
    <row r="940" spans="1:17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14"/>
        <v>0</v>
      </c>
    </row>
    <row r="941" spans="1:17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14"/>
        <v>0</v>
      </c>
    </row>
    <row r="942" spans="1:17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14"/>
        <v>0</v>
      </c>
    </row>
    <row r="943" spans="1:17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14"/>
        <v>0</v>
      </c>
    </row>
    <row r="944" spans="1:17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14"/>
        <v>1</v>
      </c>
    </row>
    <row r="945" spans="1:17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14"/>
        <v>0</v>
      </c>
    </row>
    <row r="946" spans="1:17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14"/>
        <v>0</v>
      </c>
    </row>
    <row r="947" spans="1:17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14"/>
        <v>0</v>
      </c>
    </row>
    <row r="948" spans="1:17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14"/>
        <v>0</v>
      </c>
    </row>
    <row r="949" spans="1:17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14"/>
        <v>1</v>
      </c>
    </row>
    <row r="950" spans="1:17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14"/>
        <v>0</v>
      </c>
    </row>
    <row r="951" spans="1:17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14"/>
        <v>0</v>
      </c>
    </row>
    <row r="952" spans="1:17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14"/>
        <v>0</v>
      </c>
    </row>
    <row r="953" spans="1:17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14"/>
        <v>0</v>
      </c>
    </row>
    <row r="954" spans="1:17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14"/>
        <v>0</v>
      </c>
    </row>
    <row r="955" spans="1:17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14"/>
        <v>0</v>
      </c>
    </row>
    <row r="956" spans="1:17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14"/>
        <v>0</v>
      </c>
    </row>
    <row r="957" spans="1:17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14"/>
        <v>0</v>
      </c>
    </row>
    <row r="958" spans="1:17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14"/>
        <v>0</v>
      </c>
    </row>
    <row r="959" spans="1:17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14"/>
        <v>0</v>
      </c>
    </row>
    <row r="960" spans="1:17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14"/>
        <v>0</v>
      </c>
    </row>
    <row r="961" spans="1:17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14"/>
        <v>0</v>
      </c>
    </row>
    <row r="962" spans="1:17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si="14"/>
        <v>0</v>
      </c>
    </row>
    <row r="963" spans="1:17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ref="Q963:Q1026" si="15">K963</f>
        <v>0</v>
      </c>
    </row>
    <row r="964" spans="1:17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15"/>
        <v>0</v>
      </c>
    </row>
    <row r="965" spans="1:17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15"/>
        <v>0</v>
      </c>
    </row>
    <row r="966" spans="1:17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15"/>
        <v>0</v>
      </c>
    </row>
    <row r="967" spans="1:17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15"/>
        <v>0</v>
      </c>
    </row>
    <row r="968" spans="1:17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15"/>
        <v>0</v>
      </c>
    </row>
    <row r="969" spans="1:17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15"/>
        <v>0</v>
      </c>
    </row>
    <row r="970" spans="1:17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15"/>
        <v>0</v>
      </c>
    </row>
    <row r="971" spans="1:17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15"/>
        <v>0</v>
      </c>
    </row>
    <row r="972" spans="1:17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15"/>
        <v>0</v>
      </c>
    </row>
    <row r="973" spans="1:17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15"/>
        <v>0</v>
      </c>
    </row>
    <row r="974" spans="1:17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15"/>
        <v>0</v>
      </c>
    </row>
    <row r="975" spans="1:17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15"/>
        <v>0</v>
      </c>
    </row>
    <row r="976" spans="1:17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15"/>
        <v>0</v>
      </c>
    </row>
    <row r="977" spans="1:17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15"/>
        <v>0</v>
      </c>
    </row>
    <row r="978" spans="1:17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15"/>
        <v>0</v>
      </c>
    </row>
    <row r="979" spans="1:17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15"/>
        <v>0</v>
      </c>
    </row>
    <row r="980" spans="1:17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15"/>
        <v>0</v>
      </c>
    </row>
    <row r="981" spans="1:17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15"/>
        <v>0</v>
      </c>
    </row>
    <row r="982" spans="1:17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15"/>
        <v>0</v>
      </c>
    </row>
    <row r="983" spans="1:17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15"/>
        <v>0</v>
      </c>
    </row>
    <row r="984" spans="1:17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15"/>
        <v>0</v>
      </c>
    </row>
    <row r="985" spans="1:17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15"/>
        <v>0</v>
      </c>
    </row>
    <row r="986" spans="1:17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15"/>
        <v>0</v>
      </c>
    </row>
    <row r="987" spans="1:17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15"/>
        <v>0</v>
      </c>
    </row>
    <row r="988" spans="1:17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15"/>
        <v>0</v>
      </c>
    </row>
    <row r="989" spans="1:17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15"/>
        <v>0</v>
      </c>
    </row>
    <row r="990" spans="1:17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15"/>
        <v>0</v>
      </c>
    </row>
    <row r="991" spans="1:17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15"/>
        <v>0</v>
      </c>
    </row>
    <row r="992" spans="1:17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15"/>
        <v>0</v>
      </c>
    </row>
    <row r="993" spans="1:17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15"/>
        <v>0</v>
      </c>
    </row>
    <row r="994" spans="1:17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15"/>
        <v>1</v>
      </c>
    </row>
    <row r="995" spans="1:17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15"/>
        <v>0</v>
      </c>
    </row>
    <row r="996" spans="1:17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15"/>
        <v>0</v>
      </c>
    </row>
    <row r="997" spans="1:17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15"/>
        <v>0</v>
      </c>
    </row>
    <row r="998" spans="1:17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15"/>
        <v>1</v>
      </c>
    </row>
    <row r="999" spans="1:17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15"/>
        <v>0</v>
      </c>
    </row>
    <row r="1000" spans="1:17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15"/>
        <v>0</v>
      </c>
    </row>
    <row r="1001" spans="1:17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15"/>
        <v>0</v>
      </c>
    </row>
    <row r="1002" spans="1:17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15"/>
        <v>0</v>
      </c>
    </row>
    <row r="1003" spans="1:17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15"/>
        <v>0</v>
      </c>
    </row>
    <row r="1004" spans="1:17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15"/>
        <v>0</v>
      </c>
    </row>
    <row r="1005" spans="1:17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15"/>
        <v>0</v>
      </c>
    </row>
    <row r="1006" spans="1:17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15"/>
        <v>0</v>
      </c>
    </row>
    <row r="1007" spans="1:17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15"/>
        <v>0</v>
      </c>
    </row>
    <row r="1008" spans="1:17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15"/>
        <v>0</v>
      </c>
    </row>
    <row r="1009" spans="1:17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15"/>
        <v>0</v>
      </c>
    </row>
    <row r="1010" spans="1:17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15"/>
        <v>0</v>
      </c>
    </row>
    <row r="1011" spans="1:17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15"/>
        <v>0</v>
      </c>
    </row>
    <row r="1012" spans="1:17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15"/>
        <v>0</v>
      </c>
    </row>
    <row r="1013" spans="1:17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15"/>
        <v>1</v>
      </c>
    </row>
    <row r="1014" spans="1:17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15"/>
        <v>0</v>
      </c>
    </row>
    <row r="1015" spans="1:17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15"/>
        <v>0</v>
      </c>
    </row>
    <row r="1016" spans="1:17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15"/>
        <v>0</v>
      </c>
    </row>
    <row r="1017" spans="1:17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15"/>
        <v>0</v>
      </c>
    </row>
    <row r="1018" spans="1:17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15"/>
        <v>0</v>
      </c>
    </row>
    <row r="1019" spans="1:17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15"/>
        <v>0</v>
      </c>
    </row>
    <row r="1020" spans="1:17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15"/>
        <v>0</v>
      </c>
    </row>
    <row r="1021" spans="1:17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15"/>
        <v>0</v>
      </c>
    </row>
    <row r="1022" spans="1:17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15"/>
        <v>0</v>
      </c>
    </row>
    <row r="1023" spans="1:17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15"/>
        <v>0</v>
      </c>
    </row>
    <row r="1024" spans="1:17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15"/>
        <v>0</v>
      </c>
    </row>
    <row r="1025" spans="1:17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15"/>
        <v>0</v>
      </c>
    </row>
    <row r="1026" spans="1:17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si="15"/>
        <v>1</v>
      </c>
    </row>
    <row r="1027" spans="1:17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ref="Q1027:Q1090" si="16">K1027</f>
        <v>0</v>
      </c>
    </row>
    <row r="1028" spans="1:17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16"/>
        <v>0</v>
      </c>
    </row>
    <row r="1029" spans="1:17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16"/>
        <v>0</v>
      </c>
    </row>
    <row r="1030" spans="1:17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16"/>
        <v>0</v>
      </c>
    </row>
    <row r="1031" spans="1:17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16"/>
        <v>0</v>
      </c>
    </row>
    <row r="1032" spans="1:17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16"/>
        <v>0</v>
      </c>
    </row>
    <row r="1033" spans="1:17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16"/>
        <v>0</v>
      </c>
    </row>
    <row r="1034" spans="1:17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16"/>
        <v>0</v>
      </c>
    </row>
    <row r="1035" spans="1:17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16"/>
        <v>0</v>
      </c>
    </row>
    <row r="1036" spans="1:17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16"/>
        <v>0</v>
      </c>
    </row>
    <row r="1037" spans="1:17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16"/>
        <v>0</v>
      </c>
    </row>
    <row r="1038" spans="1:17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16"/>
        <v>0</v>
      </c>
    </row>
    <row r="1039" spans="1:17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16"/>
        <v>0</v>
      </c>
    </row>
    <row r="1040" spans="1:17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16"/>
        <v>0</v>
      </c>
    </row>
    <row r="1041" spans="1:17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16"/>
        <v>0</v>
      </c>
    </row>
    <row r="1042" spans="1:17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16"/>
        <v>0</v>
      </c>
    </row>
    <row r="1043" spans="1:17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16"/>
        <v>0</v>
      </c>
    </row>
    <row r="1044" spans="1:17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16"/>
        <v>0</v>
      </c>
    </row>
    <row r="1045" spans="1:17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16"/>
        <v>0</v>
      </c>
    </row>
    <row r="1046" spans="1:17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16"/>
        <v>0</v>
      </c>
    </row>
    <row r="1047" spans="1:17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16"/>
        <v>0</v>
      </c>
    </row>
    <row r="1048" spans="1:17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16"/>
        <v>0</v>
      </c>
    </row>
    <row r="1049" spans="1:17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16"/>
        <v>0</v>
      </c>
    </row>
    <row r="1050" spans="1:17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16"/>
        <v>0</v>
      </c>
    </row>
    <row r="1051" spans="1:17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16"/>
        <v>0</v>
      </c>
    </row>
    <row r="1052" spans="1:17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16"/>
        <v>0</v>
      </c>
    </row>
    <row r="1053" spans="1:17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16"/>
        <v>0</v>
      </c>
    </row>
    <row r="1054" spans="1:17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16"/>
        <v>1</v>
      </c>
    </row>
    <row r="1055" spans="1:17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16"/>
        <v>0</v>
      </c>
    </row>
    <row r="1056" spans="1:17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16"/>
        <v>0</v>
      </c>
    </row>
    <row r="1057" spans="1:17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16"/>
        <v>0</v>
      </c>
    </row>
    <row r="1058" spans="1:17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16"/>
        <v>0</v>
      </c>
    </row>
    <row r="1059" spans="1:17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16"/>
        <v>0</v>
      </c>
    </row>
    <row r="1060" spans="1:17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16"/>
        <v>0</v>
      </c>
    </row>
    <row r="1061" spans="1:17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16"/>
        <v>0</v>
      </c>
    </row>
    <row r="1062" spans="1:17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16"/>
        <v>0</v>
      </c>
    </row>
    <row r="1063" spans="1:17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16"/>
        <v>1</v>
      </c>
    </row>
    <row r="1064" spans="1:17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16"/>
        <v>0</v>
      </c>
    </row>
    <row r="1065" spans="1:17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16"/>
        <v>0</v>
      </c>
    </row>
    <row r="1066" spans="1:17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16"/>
        <v>0</v>
      </c>
    </row>
    <row r="1067" spans="1:17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16"/>
        <v>0</v>
      </c>
    </row>
    <row r="1068" spans="1:17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16"/>
        <v>0</v>
      </c>
    </row>
    <row r="1069" spans="1:17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16"/>
        <v>0</v>
      </c>
    </row>
    <row r="1070" spans="1:17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16"/>
        <v>0</v>
      </c>
    </row>
    <row r="1071" spans="1:17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16"/>
        <v>0</v>
      </c>
    </row>
    <row r="1072" spans="1:17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16"/>
        <v>0</v>
      </c>
    </row>
    <row r="1073" spans="1:17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16"/>
        <v>0</v>
      </c>
    </row>
    <row r="1074" spans="1:17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16"/>
        <v>0</v>
      </c>
    </row>
    <row r="1075" spans="1:17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16"/>
        <v>1</v>
      </c>
    </row>
    <row r="1076" spans="1:17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16"/>
        <v>0</v>
      </c>
    </row>
    <row r="1077" spans="1:17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16"/>
        <v>0</v>
      </c>
    </row>
    <row r="1078" spans="1:17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16"/>
        <v>1</v>
      </c>
    </row>
    <row r="1079" spans="1:17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16"/>
        <v>1</v>
      </c>
    </row>
    <row r="1080" spans="1:17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16"/>
        <v>0</v>
      </c>
    </row>
    <row r="1081" spans="1:17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16"/>
        <v>0</v>
      </c>
    </row>
    <row r="1082" spans="1:17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16"/>
        <v>0</v>
      </c>
    </row>
    <row r="1083" spans="1:17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16"/>
        <v>0</v>
      </c>
    </row>
    <row r="1084" spans="1:17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16"/>
        <v>0</v>
      </c>
    </row>
    <row r="1085" spans="1:17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16"/>
        <v>0</v>
      </c>
    </row>
    <row r="1086" spans="1:17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16"/>
        <v>0</v>
      </c>
    </row>
    <row r="1087" spans="1:17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16"/>
        <v>0</v>
      </c>
    </row>
    <row r="1088" spans="1:17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16"/>
        <v>0</v>
      </c>
    </row>
    <row r="1089" spans="1:17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16"/>
        <v>0</v>
      </c>
    </row>
    <row r="1090" spans="1:17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si="16"/>
        <v>0</v>
      </c>
    </row>
    <row r="1091" spans="1:17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ref="Q1091:Q1154" si="17">K1091</f>
        <v>0</v>
      </c>
    </row>
    <row r="1092" spans="1:17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17"/>
        <v>0</v>
      </c>
    </row>
    <row r="1093" spans="1:17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17"/>
        <v>0</v>
      </c>
    </row>
    <row r="1094" spans="1:17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17"/>
        <v>0</v>
      </c>
    </row>
    <row r="1095" spans="1:17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17"/>
        <v>0</v>
      </c>
    </row>
    <row r="1096" spans="1:17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17"/>
        <v>0</v>
      </c>
    </row>
    <row r="1097" spans="1:17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17"/>
        <v>0</v>
      </c>
    </row>
    <row r="1098" spans="1:17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17"/>
        <v>0</v>
      </c>
    </row>
    <row r="1099" spans="1:17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17"/>
        <v>0</v>
      </c>
    </row>
    <row r="1100" spans="1:17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17"/>
        <v>0</v>
      </c>
    </row>
    <row r="1101" spans="1:17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17"/>
        <v>0</v>
      </c>
    </row>
    <row r="1102" spans="1:17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17"/>
        <v>0</v>
      </c>
    </row>
    <row r="1103" spans="1:17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17"/>
        <v>0</v>
      </c>
    </row>
    <row r="1104" spans="1:17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17"/>
        <v>0</v>
      </c>
    </row>
    <row r="1105" spans="1:17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17"/>
        <v>0</v>
      </c>
    </row>
    <row r="1106" spans="1:17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17"/>
        <v>0</v>
      </c>
    </row>
    <row r="1107" spans="1:17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17"/>
        <v>0</v>
      </c>
    </row>
    <row r="1108" spans="1:17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17"/>
        <v>0</v>
      </c>
    </row>
    <row r="1109" spans="1:17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17"/>
        <v>0</v>
      </c>
    </row>
    <row r="1110" spans="1:17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17"/>
        <v>0</v>
      </c>
    </row>
    <row r="1111" spans="1:17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17"/>
        <v>0</v>
      </c>
    </row>
    <row r="1112" spans="1:17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17"/>
        <v>0</v>
      </c>
    </row>
    <row r="1113" spans="1:17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17"/>
        <v>0</v>
      </c>
    </row>
    <row r="1114" spans="1:17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17"/>
        <v>0</v>
      </c>
    </row>
    <row r="1115" spans="1:17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17"/>
        <v>1</v>
      </c>
    </row>
    <row r="1116" spans="1:17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17"/>
        <v>0</v>
      </c>
    </row>
    <row r="1117" spans="1:17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17"/>
        <v>0</v>
      </c>
    </row>
    <row r="1118" spans="1:17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17"/>
        <v>0</v>
      </c>
    </row>
    <row r="1119" spans="1:17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17"/>
        <v>0</v>
      </c>
    </row>
    <row r="1120" spans="1:17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17"/>
        <v>0</v>
      </c>
    </row>
    <row r="1121" spans="1:17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17"/>
        <v>0</v>
      </c>
    </row>
    <row r="1122" spans="1:17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17"/>
        <v>0</v>
      </c>
    </row>
    <row r="1123" spans="1:17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17"/>
        <v>0</v>
      </c>
    </row>
    <row r="1124" spans="1:17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17"/>
        <v>0</v>
      </c>
    </row>
    <row r="1125" spans="1:17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17"/>
        <v>0</v>
      </c>
    </row>
    <row r="1126" spans="1:17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17"/>
        <v>0</v>
      </c>
    </row>
    <row r="1127" spans="1:17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17"/>
        <v>0</v>
      </c>
    </row>
    <row r="1128" spans="1:17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17"/>
        <v>0</v>
      </c>
    </row>
    <row r="1129" spans="1:17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17"/>
        <v>0</v>
      </c>
    </row>
    <row r="1130" spans="1:17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17"/>
        <v>0</v>
      </c>
    </row>
    <row r="1131" spans="1:17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17"/>
        <v>0</v>
      </c>
    </row>
    <row r="1132" spans="1:17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17"/>
        <v>0</v>
      </c>
    </row>
    <row r="1133" spans="1:17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17"/>
        <v>0</v>
      </c>
    </row>
    <row r="1134" spans="1:17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17"/>
        <v>0</v>
      </c>
    </row>
    <row r="1135" spans="1:17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17"/>
        <v>0</v>
      </c>
    </row>
    <row r="1136" spans="1:17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17"/>
        <v>0</v>
      </c>
    </row>
    <row r="1137" spans="1:17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17"/>
        <v>0</v>
      </c>
    </row>
    <row r="1138" spans="1:17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17"/>
        <v>0</v>
      </c>
    </row>
    <row r="1139" spans="1:17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17"/>
        <v>0</v>
      </c>
    </row>
    <row r="1140" spans="1:17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17"/>
        <v>0</v>
      </c>
    </row>
    <row r="1141" spans="1:17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17"/>
        <v>0</v>
      </c>
    </row>
    <row r="1142" spans="1:17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17"/>
        <v>0</v>
      </c>
    </row>
    <row r="1143" spans="1:17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17"/>
        <v>1</v>
      </c>
    </row>
    <row r="1144" spans="1:17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17"/>
        <v>0</v>
      </c>
    </row>
    <row r="1145" spans="1:17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17"/>
        <v>0</v>
      </c>
    </row>
    <row r="1146" spans="1:17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17"/>
        <v>1</v>
      </c>
    </row>
    <row r="1147" spans="1:17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17"/>
        <v>0</v>
      </c>
    </row>
    <row r="1148" spans="1:17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17"/>
        <v>1</v>
      </c>
    </row>
    <row r="1149" spans="1:17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17"/>
        <v>0</v>
      </c>
    </row>
    <row r="1150" spans="1:17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17"/>
        <v>0</v>
      </c>
    </row>
    <row r="1151" spans="1:17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17"/>
        <v>0</v>
      </c>
    </row>
    <row r="1152" spans="1:17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17"/>
        <v>0</v>
      </c>
    </row>
    <row r="1153" spans="1:17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17"/>
        <v>0</v>
      </c>
    </row>
    <row r="1154" spans="1:17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si="17"/>
        <v>0</v>
      </c>
    </row>
    <row r="1155" spans="1:17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ref="Q1155:Q1218" si="18">K1155</f>
        <v>0</v>
      </c>
    </row>
    <row r="1156" spans="1:17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18"/>
        <v>0</v>
      </c>
    </row>
    <row r="1157" spans="1:17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18"/>
        <v>0</v>
      </c>
    </row>
    <row r="1158" spans="1:17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18"/>
        <v>0</v>
      </c>
    </row>
    <row r="1159" spans="1:17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18"/>
        <v>0</v>
      </c>
    </row>
    <row r="1160" spans="1:17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18"/>
        <v>0</v>
      </c>
    </row>
    <row r="1161" spans="1:17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18"/>
        <v>0</v>
      </c>
    </row>
    <row r="1162" spans="1:17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18"/>
        <v>0</v>
      </c>
    </row>
    <row r="1163" spans="1:17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18"/>
        <v>0</v>
      </c>
    </row>
    <row r="1164" spans="1:17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18"/>
        <v>0</v>
      </c>
    </row>
    <row r="1165" spans="1:17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18"/>
        <v>0</v>
      </c>
    </row>
    <row r="1166" spans="1:17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18"/>
        <v>0</v>
      </c>
    </row>
    <row r="1167" spans="1:17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18"/>
        <v>0</v>
      </c>
    </row>
    <row r="1168" spans="1:17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18"/>
        <v>0</v>
      </c>
    </row>
    <row r="1169" spans="1:17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18"/>
        <v>1</v>
      </c>
    </row>
    <row r="1170" spans="1:17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18"/>
        <v>0</v>
      </c>
    </row>
    <row r="1171" spans="1:17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18"/>
        <v>0</v>
      </c>
    </row>
    <row r="1172" spans="1:17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18"/>
        <v>0</v>
      </c>
    </row>
    <row r="1173" spans="1:17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18"/>
        <v>0</v>
      </c>
    </row>
    <row r="1174" spans="1:17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18"/>
        <v>0</v>
      </c>
    </row>
    <row r="1175" spans="1:17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18"/>
        <v>0</v>
      </c>
    </row>
    <row r="1176" spans="1:17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18"/>
        <v>0</v>
      </c>
    </row>
    <row r="1177" spans="1:17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18"/>
        <v>0</v>
      </c>
    </row>
    <row r="1178" spans="1:17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18"/>
        <v>0</v>
      </c>
    </row>
    <row r="1179" spans="1:17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18"/>
        <v>0</v>
      </c>
    </row>
    <row r="1180" spans="1:17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18"/>
        <v>1</v>
      </c>
    </row>
    <row r="1181" spans="1:17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18"/>
        <v>0</v>
      </c>
    </row>
    <row r="1182" spans="1:17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18"/>
        <v>0</v>
      </c>
    </row>
    <row r="1183" spans="1:17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18"/>
        <v>0</v>
      </c>
    </row>
    <row r="1184" spans="1:17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18"/>
        <v>0</v>
      </c>
    </row>
    <row r="1185" spans="1:17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18"/>
        <v>0</v>
      </c>
    </row>
    <row r="1186" spans="1:17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18"/>
        <v>0</v>
      </c>
    </row>
    <row r="1187" spans="1:17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18"/>
        <v>0</v>
      </c>
    </row>
    <row r="1188" spans="1:17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18"/>
        <v>0</v>
      </c>
    </row>
    <row r="1189" spans="1:17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18"/>
        <v>0</v>
      </c>
    </row>
    <row r="1190" spans="1:17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18"/>
        <v>0</v>
      </c>
    </row>
    <row r="1191" spans="1:17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18"/>
        <v>0</v>
      </c>
    </row>
    <row r="1192" spans="1:17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18"/>
        <v>0</v>
      </c>
    </row>
    <row r="1193" spans="1:17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18"/>
        <v>0</v>
      </c>
    </row>
    <row r="1194" spans="1:17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18"/>
        <v>0</v>
      </c>
    </row>
    <row r="1195" spans="1:17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18"/>
        <v>0</v>
      </c>
    </row>
    <row r="1196" spans="1:17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18"/>
        <v>0</v>
      </c>
    </row>
    <row r="1197" spans="1:17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18"/>
        <v>0</v>
      </c>
    </row>
    <row r="1198" spans="1:17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18"/>
        <v>0</v>
      </c>
    </row>
    <row r="1199" spans="1:17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18"/>
        <v>0</v>
      </c>
    </row>
    <row r="1200" spans="1:17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18"/>
        <v>0</v>
      </c>
    </row>
    <row r="1201" spans="1:17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18"/>
        <v>0</v>
      </c>
    </row>
    <row r="1202" spans="1:17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18"/>
        <v>0</v>
      </c>
    </row>
    <row r="1203" spans="1:17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18"/>
        <v>0</v>
      </c>
    </row>
    <row r="1204" spans="1:17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18"/>
        <v>0</v>
      </c>
    </row>
    <row r="1205" spans="1:17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18"/>
        <v>0</v>
      </c>
    </row>
    <row r="1206" spans="1:17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18"/>
        <v>0</v>
      </c>
    </row>
    <row r="1207" spans="1:17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18"/>
        <v>0</v>
      </c>
    </row>
    <row r="1208" spans="1:17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18"/>
        <v>0</v>
      </c>
    </row>
    <row r="1209" spans="1:17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18"/>
        <v>0</v>
      </c>
    </row>
    <row r="1210" spans="1:17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18"/>
        <v>0</v>
      </c>
    </row>
    <row r="1211" spans="1:17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18"/>
        <v>0</v>
      </c>
    </row>
    <row r="1212" spans="1:17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18"/>
        <v>0</v>
      </c>
    </row>
    <row r="1213" spans="1:17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18"/>
        <v>0</v>
      </c>
    </row>
    <row r="1214" spans="1:17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18"/>
        <v>0</v>
      </c>
    </row>
    <row r="1215" spans="1:17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18"/>
        <v>0</v>
      </c>
    </row>
    <row r="1216" spans="1:17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18"/>
        <v>0</v>
      </c>
    </row>
    <row r="1217" spans="1:17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18"/>
        <v>0</v>
      </c>
    </row>
    <row r="1218" spans="1:17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si="18"/>
        <v>0</v>
      </c>
    </row>
    <row r="1219" spans="1:17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ref="Q1219:Q1282" si="19">K1219</f>
        <v>0</v>
      </c>
    </row>
    <row r="1220" spans="1:17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19"/>
        <v>0</v>
      </c>
    </row>
    <row r="1221" spans="1:17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19"/>
        <v>0</v>
      </c>
    </row>
    <row r="1222" spans="1:17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19"/>
        <v>1</v>
      </c>
    </row>
    <row r="1223" spans="1:17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19"/>
        <v>1</v>
      </c>
    </row>
    <row r="1224" spans="1:17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19"/>
        <v>0</v>
      </c>
    </row>
    <row r="1225" spans="1:17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19"/>
        <v>0</v>
      </c>
    </row>
    <row r="1226" spans="1:17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19"/>
        <v>0</v>
      </c>
    </row>
    <row r="1227" spans="1:17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19"/>
        <v>1</v>
      </c>
    </row>
    <row r="1228" spans="1:17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19"/>
        <v>0</v>
      </c>
    </row>
    <row r="1229" spans="1:17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19"/>
        <v>0</v>
      </c>
    </row>
    <row r="1230" spans="1:17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19"/>
        <v>0</v>
      </c>
    </row>
    <row r="1231" spans="1:17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19"/>
        <v>0</v>
      </c>
    </row>
    <row r="1232" spans="1:17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19"/>
        <v>0</v>
      </c>
    </row>
    <row r="1233" spans="1:17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19"/>
        <v>0</v>
      </c>
    </row>
    <row r="1234" spans="1:17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19"/>
        <v>0</v>
      </c>
    </row>
    <row r="1235" spans="1:17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19"/>
        <v>0</v>
      </c>
    </row>
    <row r="1236" spans="1:17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19"/>
        <v>0</v>
      </c>
    </row>
    <row r="1237" spans="1:17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19"/>
        <v>0</v>
      </c>
    </row>
    <row r="1238" spans="1:17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19"/>
        <v>1</v>
      </c>
    </row>
    <row r="1239" spans="1:17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19"/>
        <v>0</v>
      </c>
    </row>
    <row r="1240" spans="1:17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19"/>
        <v>0</v>
      </c>
    </row>
    <row r="1241" spans="1:17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19"/>
        <v>0</v>
      </c>
    </row>
    <row r="1242" spans="1:17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19"/>
        <v>0</v>
      </c>
    </row>
    <row r="1243" spans="1:17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19"/>
        <v>0</v>
      </c>
    </row>
    <row r="1244" spans="1:17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19"/>
        <v>0</v>
      </c>
    </row>
    <row r="1245" spans="1:17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19"/>
        <v>0</v>
      </c>
    </row>
    <row r="1246" spans="1:17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19"/>
        <v>0</v>
      </c>
    </row>
    <row r="1247" spans="1:17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19"/>
        <v>0</v>
      </c>
    </row>
    <row r="1248" spans="1:17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19"/>
        <v>0</v>
      </c>
    </row>
    <row r="1249" spans="1:17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19"/>
        <v>0</v>
      </c>
    </row>
    <row r="1250" spans="1:17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19"/>
        <v>0</v>
      </c>
    </row>
    <row r="1251" spans="1:17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19"/>
        <v>0</v>
      </c>
    </row>
    <row r="1252" spans="1:17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19"/>
        <v>1</v>
      </c>
    </row>
    <row r="1253" spans="1:17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19"/>
        <v>0</v>
      </c>
    </row>
    <row r="1254" spans="1:17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19"/>
        <v>0</v>
      </c>
    </row>
    <row r="1255" spans="1:17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19"/>
        <v>0</v>
      </c>
    </row>
    <row r="1256" spans="1:17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19"/>
        <v>0</v>
      </c>
    </row>
    <row r="1257" spans="1:17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19"/>
        <v>1</v>
      </c>
    </row>
    <row r="1258" spans="1:17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19"/>
        <v>0</v>
      </c>
    </row>
    <row r="1259" spans="1:17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19"/>
        <v>0</v>
      </c>
    </row>
    <row r="1260" spans="1:17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19"/>
        <v>0</v>
      </c>
    </row>
    <row r="1261" spans="1:17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19"/>
        <v>0</v>
      </c>
    </row>
    <row r="1262" spans="1:17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19"/>
        <v>0</v>
      </c>
    </row>
    <row r="1263" spans="1:17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19"/>
        <v>0</v>
      </c>
    </row>
    <row r="1264" spans="1:17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19"/>
        <v>0</v>
      </c>
    </row>
    <row r="1265" spans="1:17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19"/>
        <v>0</v>
      </c>
    </row>
    <row r="1266" spans="1:17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19"/>
        <v>0</v>
      </c>
    </row>
    <row r="1267" spans="1:17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19"/>
        <v>0</v>
      </c>
    </row>
    <row r="1268" spans="1:17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19"/>
        <v>0</v>
      </c>
    </row>
    <row r="1269" spans="1:17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19"/>
        <v>0</v>
      </c>
    </row>
    <row r="1270" spans="1:17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19"/>
        <v>0</v>
      </c>
    </row>
    <row r="1271" spans="1:17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19"/>
        <v>0</v>
      </c>
    </row>
    <row r="1272" spans="1:17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19"/>
        <v>0</v>
      </c>
    </row>
    <row r="1273" spans="1:17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19"/>
        <v>0</v>
      </c>
    </row>
    <row r="1274" spans="1:17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19"/>
        <v>0</v>
      </c>
    </row>
    <row r="1275" spans="1:17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19"/>
        <v>0</v>
      </c>
    </row>
    <row r="1276" spans="1:17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19"/>
        <v>0</v>
      </c>
    </row>
    <row r="1277" spans="1:17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19"/>
        <v>0</v>
      </c>
    </row>
    <row r="1278" spans="1:17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19"/>
        <v>0</v>
      </c>
    </row>
    <row r="1279" spans="1:17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19"/>
        <v>0</v>
      </c>
    </row>
    <row r="1280" spans="1:17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19"/>
        <v>0</v>
      </c>
    </row>
    <row r="1281" spans="1:17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19"/>
        <v>0</v>
      </c>
    </row>
    <row r="1282" spans="1:17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si="19"/>
        <v>0</v>
      </c>
    </row>
    <row r="1283" spans="1:17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ref="Q1283:Q1346" si="20">K1283</f>
        <v>0</v>
      </c>
    </row>
    <row r="1284" spans="1:17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20"/>
        <v>0</v>
      </c>
    </row>
    <row r="1285" spans="1:17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20"/>
        <v>0</v>
      </c>
    </row>
    <row r="1286" spans="1:17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20"/>
        <v>0</v>
      </c>
    </row>
    <row r="1287" spans="1:17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20"/>
        <v>0</v>
      </c>
    </row>
    <row r="1288" spans="1:17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20"/>
        <v>0</v>
      </c>
    </row>
    <row r="1289" spans="1:17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20"/>
        <v>0</v>
      </c>
    </row>
    <row r="1290" spans="1:17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20"/>
        <v>0</v>
      </c>
    </row>
    <row r="1291" spans="1:17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20"/>
        <v>0</v>
      </c>
    </row>
    <row r="1292" spans="1:17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20"/>
        <v>0</v>
      </c>
    </row>
    <row r="1293" spans="1:17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20"/>
        <v>0</v>
      </c>
    </row>
    <row r="1294" spans="1:17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20"/>
        <v>0</v>
      </c>
    </row>
    <row r="1295" spans="1:17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20"/>
        <v>0</v>
      </c>
    </row>
    <row r="1296" spans="1:17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20"/>
        <v>0</v>
      </c>
    </row>
    <row r="1297" spans="1:17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20"/>
        <v>0</v>
      </c>
    </row>
    <row r="1298" spans="1:17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20"/>
        <v>1</v>
      </c>
    </row>
    <row r="1299" spans="1:17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20"/>
        <v>0</v>
      </c>
    </row>
    <row r="1300" spans="1:17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20"/>
        <v>0</v>
      </c>
    </row>
    <row r="1301" spans="1:17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20"/>
        <v>0</v>
      </c>
    </row>
    <row r="1302" spans="1:17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20"/>
        <v>0</v>
      </c>
    </row>
    <row r="1303" spans="1:17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20"/>
        <v>0</v>
      </c>
    </row>
    <row r="1304" spans="1:17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20"/>
        <v>0</v>
      </c>
    </row>
    <row r="1305" spans="1:17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20"/>
        <v>0</v>
      </c>
    </row>
    <row r="1306" spans="1:17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20"/>
        <v>0</v>
      </c>
    </row>
    <row r="1307" spans="1:17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20"/>
        <v>0</v>
      </c>
    </row>
    <row r="1308" spans="1:17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20"/>
        <v>0</v>
      </c>
    </row>
    <row r="1309" spans="1:17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20"/>
        <v>0</v>
      </c>
    </row>
    <row r="1310" spans="1:17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20"/>
        <v>0</v>
      </c>
    </row>
    <row r="1311" spans="1:17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20"/>
        <v>0</v>
      </c>
    </row>
    <row r="1312" spans="1:17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20"/>
        <v>1</v>
      </c>
    </row>
    <row r="1313" spans="1:17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20"/>
        <v>0</v>
      </c>
    </row>
    <row r="1314" spans="1:17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20"/>
        <v>0</v>
      </c>
    </row>
    <row r="1315" spans="1:17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20"/>
        <v>0</v>
      </c>
    </row>
    <row r="1316" spans="1:17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20"/>
        <v>0</v>
      </c>
    </row>
    <row r="1317" spans="1:17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20"/>
        <v>0</v>
      </c>
    </row>
    <row r="1318" spans="1:17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20"/>
        <v>0</v>
      </c>
    </row>
    <row r="1319" spans="1:17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20"/>
        <v>0</v>
      </c>
    </row>
    <row r="1320" spans="1:17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20"/>
        <v>1</v>
      </c>
    </row>
    <row r="1321" spans="1:17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20"/>
        <v>0</v>
      </c>
    </row>
    <row r="1322" spans="1:17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20"/>
        <v>0</v>
      </c>
    </row>
    <row r="1323" spans="1:17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20"/>
        <v>1</v>
      </c>
    </row>
    <row r="1324" spans="1:17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20"/>
        <v>0</v>
      </c>
    </row>
    <row r="1325" spans="1:17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20"/>
        <v>0</v>
      </c>
    </row>
    <row r="1326" spans="1:17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20"/>
        <v>0</v>
      </c>
    </row>
    <row r="1327" spans="1:17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20"/>
        <v>0</v>
      </c>
    </row>
    <row r="1328" spans="1:17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20"/>
        <v>0</v>
      </c>
    </row>
    <row r="1329" spans="1:17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20"/>
        <v>0</v>
      </c>
    </row>
    <row r="1330" spans="1:17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20"/>
        <v>0</v>
      </c>
    </row>
    <row r="1331" spans="1:17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20"/>
        <v>0</v>
      </c>
    </row>
    <row r="1332" spans="1:17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20"/>
        <v>0</v>
      </c>
    </row>
    <row r="1333" spans="1:17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20"/>
        <v>0</v>
      </c>
    </row>
    <row r="1334" spans="1:17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20"/>
        <v>0</v>
      </c>
    </row>
    <row r="1335" spans="1:17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20"/>
        <v>0</v>
      </c>
    </row>
    <row r="1336" spans="1:17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20"/>
        <v>0</v>
      </c>
    </row>
    <row r="1337" spans="1:17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20"/>
        <v>0</v>
      </c>
    </row>
    <row r="1338" spans="1:17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20"/>
        <v>0</v>
      </c>
    </row>
    <row r="1339" spans="1:17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20"/>
        <v>0</v>
      </c>
    </row>
    <row r="1340" spans="1:17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20"/>
        <v>0</v>
      </c>
    </row>
    <row r="1341" spans="1:17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20"/>
        <v>0</v>
      </c>
    </row>
    <row r="1342" spans="1:17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20"/>
        <v>0</v>
      </c>
    </row>
    <row r="1343" spans="1:17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20"/>
        <v>0</v>
      </c>
    </row>
    <row r="1344" spans="1:17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20"/>
        <v>0</v>
      </c>
    </row>
    <row r="1345" spans="1:17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20"/>
        <v>0</v>
      </c>
    </row>
    <row r="1346" spans="1:17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si="20"/>
        <v>0</v>
      </c>
    </row>
    <row r="1347" spans="1:17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ref="Q1347:Q1401" si="21">K1347</f>
        <v>0</v>
      </c>
    </row>
    <row r="1348" spans="1:17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21"/>
        <v>0</v>
      </c>
    </row>
    <row r="1349" spans="1:17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21"/>
        <v>0</v>
      </c>
    </row>
    <row r="1350" spans="1:17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21"/>
        <v>0</v>
      </c>
    </row>
    <row r="1351" spans="1:17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21"/>
        <v>1</v>
      </c>
    </row>
    <row r="1352" spans="1:17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21"/>
        <v>0</v>
      </c>
    </row>
    <row r="1353" spans="1:17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21"/>
        <v>0</v>
      </c>
    </row>
    <row r="1354" spans="1:17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21"/>
        <v>0</v>
      </c>
    </row>
    <row r="1355" spans="1:17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21"/>
        <v>0</v>
      </c>
    </row>
    <row r="1356" spans="1:17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21"/>
        <v>0</v>
      </c>
    </row>
    <row r="1357" spans="1:17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21"/>
        <v>0</v>
      </c>
    </row>
    <row r="1358" spans="1:17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21"/>
        <v>0</v>
      </c>
    </row>
    <row r="1359" spans="1:17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21"/>
        <v>0</v>
      </c>
    </row>
    <row r="1360" spans="1:17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21"/>
        <v>0</v>
      </c>
    </row>
    <row r="1361" spans="1:17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21"/>
        <v>0</v>
      </c>
    </row>
    <row r="1362" spans="1:17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21"/>
        <v>0</v>
      </c>
    </row>
    <row r="1363" spans="1:17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21"/>
        <v>0</v>
      </c>
    </row>
    <row r="1364" spans="1:17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21"/>
        <v>0</v>
      </c>
    </row>
    <row r="1365" spans="1:17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21"/>
        <v>0</v>
      </c>
    </row>
    <row r="1366" spans="1:17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21"/>
        <v>0</v>
      </c>
    </row>
    <row r="1367" spans="1:17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21"/>
        <v>0</v>
      </c>
    </row>
    <row r="1368" spans="1:17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21"/>
        <v>0</v>
      </c>
    </row>
    <row r="1369" spans="1:17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21"/>
        <v>0</v>
      </c>
    </row>
    <row r="1370" spans="1:17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21"/>
        <v>0</v>
      </c>
    </row>
    <row r="1371" spans="1:17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21"/>
        <v>0</v>
      </c>
    </row>
    <row r="1372" spans="1:17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21"/>
        <v>0</v>
      </c>
    </row>
    <row r="1373" spans="1:17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21"/>
        <v>0</v>
      </c>
    </row>
    <row r="1374" spans="1:17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21"/>
        <v>0</v>
      </c>
    </row>
    <row r="1375" spans="1:17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21"/>
        <v>0</v>
      </c>
    </row>
    <row r="1376" spans="1:17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21"/>
        <v>0</v>
      </c>
    </row>
    <row r="1377" spans="1:17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21"/>
        <v>0</v>
      </c>
    </row>
    <row r="1378" spans="1:17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21"/>
        <v>0</v>
      </c>
    </row>
    <row r="1379" spans="1:17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21"/>
        <v>0</v>
      </c>
    </row>
    <row r="1380" spans="1:17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21"/>
        <v>1</v>
      </c>
    </row>
    <row r="1381" spans="1:17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21"/>
        <v>0</v>
      </c>
    </row>
    <row r="1382" spans="1:17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21"/>
        <v>0</v>
      </c>
    </row>
    <row r="1383" spans="1:17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21"/>
        <v>0</v>
      </c>
    </row>
    <row r="1384" spans="1:17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21"/>
        <v>0</v>
      </c>
    </row>
    <row r="1385" spans="1:17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21"/>
        <v>0</v>
      </c>
    </row>
    <row r="1386" spans="1:17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21"/>
        <v>0</v>
      </c>
    </row>
    <row r="1387" spans="1:17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21"/>
        <v>0</v>
      </c>
    </row>
    <row r="1388" spans="1:17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21"/>
        <v>0</v>
      </c>
    </row>
    <row r="1389" spans="1:17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21"/>
        <v>0</v>
      </c>
    </row>
    <row r="1390" spans="1:17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21"/>
        <v>0</v>
      </c>
    </row>
    <row r="1391" spans="1:17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21"/>
        <v>0</v>
      </c>
    </row>
    <row r="1392" spans="1:17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21"/>
        <v>0</v>
      </c>
    </row>
    <row r="1393" spans="1:17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21"/>
        <v>0</v>
      </c>
    </row>
    <row r="1394" spans="1:17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21"/>
        <v>0</v>
      </c>
    </row>
    <row r="1395" spans="1:17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21"/>
        <v>0</v>
      </c>
    </row>
    <row r="1396" spans="1:17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21"/>
        <v>0</v>
      </c>
    </row>
    <row r="1397" spans="1:17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21"/>
        <v>1</v>
      </c>
    </row>
    <row r="1398" spans="1:17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21"/>
        <v>0</v>
      </c>
    </row>
    <row r="1399" spans="1:17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21"/>
        <v>0</v>
      </c>
    </row>
    <row r="1400" spans="1:17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21"/>
        <v>0</v>
      </c>
    </row>
    <row r="1401" spans="1:17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21"/>
        <v>0</v>
      </c>
    </row>
  </sheetData>
  <autoFilter ref="A1:P1401" xr:uid="{00000000-0001-0000-0000-000000000000}"/>
  <conditionalFormatting sqref="A1:A1401 A1410:A1048576">
    <cfRule type="duplicateValues" dxfId="1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 Counts</vt:lpstr>
      <vt:lpstr>Segment Analysis</vt:lpstr>
      <vt:lpstr>Summary Metrics</vt:lpstr>
      <vt:lpstr>Hypothesis Test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</dc:creator>
  <cp:lastModifiedBy>chaitanya chaudhari</cp:lastModifiedBy>
  <dcterms:created xsi:type="dcterms:W3CDTF">2026-06-26T17:21:59Z</dcterms:created>
  <dcterms:modified xsi:type="dcterms:W3CDTF">2026-06-26T18:40:53Z</dcterms:modified>
</cp:coreProperties>
</file>